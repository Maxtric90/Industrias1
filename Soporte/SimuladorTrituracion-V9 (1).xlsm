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brina\Downloads\"/>
    </mc:Choice>
  </mc:AlternateContent>
  <xr:revisionPtr revIDLastSave="0" documentId="8_{BBD7E1DF-FCB4-4FA9-9D34-E751A99C5E84}" xr6:coauthVersionLast="47" xr6:coauthVersionMax="47" xr10:uidLastSave="{00000000-0000-0000-0000-000000000000}"/>
  <bookViews>
    <workbookView xWindow="-108" yWindow="-108" windowWidth="23256" windowHeight="12576" tabRatio="751" activeTab="2" xr2:uid="{00000000-000D-0000-FFFF-FFFF00000000}"/>
  </bookViews>
  <sheets>
    <sheet name="Inputs" sheetId="19" r:id="rId1"/>
    <sheet name="Informe 1 etapa" sheetId="23" r:id="rId2"/>
    <sheet name="Informe 2 etapas" sheetId="20" r:id="rId3"/>
    <sheet name="DimensionadorTrit" sheetId="8" r:id="rId4"/>
    <sheet name="Curvas Granul. M" sheetId="7" state="hidden" r:id="rId5"/>
    <sheet name="Curvas Granul. C" sheetId="10" state="hidden" r:id="rId6"/>
    <sheet name="Trit mandibulas" sheetId="2" r:id="rId7"/>
    <sheet name="Trit conicas" sheetId="3" r:id="rId8"/>
    <sheet name="Iterador 80% y Analisis Gran." sheetId="22" r:id="rId9"/>
    <sheet name="Materiales" sheetId="9" state="hidden" r:id="rId10"/>
  </sheets>
  <definedNames>
    <definedName name="_xlnm.Print_Area" localSheetId="1">'Informe 1 etapa'!$A$1:$I$52</definedName>
    <definedName name="_xlnm.Print_Area" localSheetId="2">'Informe 2 etapas'!$A$1:$I$51</definedName>
    <definedName name="solver_adj" localSheetId="8" hidden="1">'Iterador 80% y Analisis Gran.'!$B$35</definedName>
    <definedName name="solver_cvg" localSheetId="8" hidden="1">0.0001</definedName>
    <definedName name="solver_drv" localSheetId="8" hidden="1">1</definedName>
    <definedName name="solver_eng" localSheetId="8" hidden="1">1</definedName>
    <definedName name="solver_est" localSheetId="8" hidden="1">1</definedName>
    <definedName name="solver_itr" localSheetId="8" hidden="1">2147483647</definedName>
    <definedName name="solver_mip" localSheetId="8" hidden="1">2147483647</definedName>
    <definedName name="solver_mni" localSheetId="8" hidden="1">30</definedName>
    <definedName name="solver_mrt" localSheetId="8" hidden="1">0.075</definedName>
    <definedName name="solver_msl" localSheetId="8" hidden="1">2</definedName>
    <definedName name="solver_neg" localSheetId="8" hidden="1">1</definedName>
    <definedName name="solver_nod" localSheetId="8" hidden="1">2147483647</definedName>
    <definedName name="solver_num" localSheetId="8" hidden="1">0</definedName>
    <definedName name="solver_nwt" localSheetId="8" hidden="1">1</definedName>
    <definedName name="solver_opt" localSheetId="8" hidden="1">'Iterador 80% y Analisis Gran.'!$E$48</definedName>
    <definedName name="solver_pre" localSheetId="8" hidden="1">0.000001</definedName>
    <definedName name="solver_rbv" localSheetId="8" hidden="1">1</definedName>
    <definedName name="solver_rlx" localSheetId="8" hidden="1">2</definedName>
    <definedName name="solver_rsd" localSheetId="8" hidden="1">0</definedName>
    <definedName name="solver_scl" localSheetId="8" hidden="1">1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8" hidden="1">3</definedName>
    <definedName name="solver_val" localSheetId="8" hidden="1">0.8</definedName>
    <definedName name="solver_ver" localSheetId="8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8" l="1"/>
  <c r="D29" i="23"/>
  <c r="C29" i="23"/>
  <c r="D28" i="23"/>
  <c r="C13" i="8"/>
  <c r="C11" i="8"/>
  <c r="C12" i="8"/>
  <c r="C14" i="8"/>
  <c r="C10" i="8"/>
  <c r="C9" i="8"/>
  <c r="B7" i="8"/>
  <c r="C4" i="8" l="1"/>
  <c r="D28" i="20"/>
  <c r="D29" i="20"/>
  <c r="C29" i="20"/>
  <c r="L11" i="22"/>
  <c r="C28" i="23" s="1"/>
  <c r="L10" i="22"/>
  <c r="L9" i="22"/>
  <c r="C28" i="20" l="1"/>
  <c r="M8" i="22"/>
  <c r="C26" i="23"/>
  <c r="M9" i="22"/>
  <c r="C27" i="23"/>
  <c r="C27" i="20"/>
  <c r="C26" i="20"/>
  <c r="M10" i="22"/>
  <c r="D27" i="20" l="1"/>
  <c r="D27" i="23"/>
  <c r="D26" i="20"/>
  <c r="D26" i="23"/>
  <c r="AI12" i="22"/>
  <c r="AI13" i="22" a="1"/>
  <c r="AI13" i="22" s="1"/>
  <c r="AF13" i="22" l="1" a="1"/>
  <c r="AF13" i="22" s="1"/>
  <c r="AF12" i="22"/>
  <c r="C36" i="8" l="1"/>
  <c r="B36" i="8"/>
  <c r="A36" i="8"/>
  <c r="A33" i="8"/>
  <c r="D22" i="8"/>
  <c r="C11" i="20" l="1"/>
  <c r="C11" i="23"/>
  <c r="A25" i="8"/>
  <c r="Q52" i="10" l="1"/>
  <c r="Q53" i="10"/>
  <c r="Q54" i="10"/>
  <c r="Q55" i="10"/>
  <c r="Q60" i="10"/>
  <c r="P39" i="10"/>
  <c r="P37" i="10"/>
  <c r="P38" i="10"/>
  <c r="P40" i="10"/>
  <c r="N20" i="10"/>
  <c r="N21" i="10"/>
  <c r="N22" i="10"/>
  <c r="N23" i="10"/>
  <c r="M8" i="10"/>
  <c r="M9" i="10"/>
  <c r="M10" i="10"/>
  <c r="M11" i="10"/>
  <c r="M12" i="10"/>
  <c r="E31" i="10" l="1"/>
  <c r="E30" i="10"/>
  <c r="E29" i="10"/>
  <c r="E28" i="10"/>
  <c r="E27" i="10"/>
  <c r="E26" i="10"/>
  <c r="E24" i="10"/>
  <c r="E25" i="10"/>
  <c r="E22" i="10"/>
  <c r="Q37" i="8" l="1"/>
  <c r="Q36" i="8"/>
  <c r="Q35" i="8"/>
  <c r="Q34" i="8"/>
  <c r="P37" i="8"/>
  <c r="P36" i="8"/>
  <c r="P35" i="8"/>
  <c r="P34" i="8"/>
  <c r="AK49" i="8"/>
  <c r="AK48" i="8"/>
  <c r="AK47" i="8"/>
  <c r="AK46" i="8"/>
  <c r="AK45" i="8"/>
  <c r="AK44" i="8"/>
  <c r="AK43" i="8"/>
  <c r="K23" i="10" l="1"/>
  <c r="B33" i="8" l="1"/>
  <c r="AV26" i="2"/>
  <c r="AV27" i="2"/>
  <c r="AV28" i="2"/>
  <c r="AV29" i="2"/>
  <c r="AV30" i="2"/>
  <c r="AV31" i="2"/>
  <c r="AV32" i="2"/>
  <c r="AV33" i="2"/>
  <c r="AV34" i="2"/>
  <c r="AV35" i="2"/>
  <c r="AV36" i="2"/>
  <c r="AV37" i="2"/>
  <c r="AV38" i="2"/>
  <c r="AV39" i="2"/>
  <c r="AV40" i="2"/>
  <c r="AV41" i="2"/>
  <c r="AV42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E35" i="3" l="1"/>
  <c r="F29" i="3"/>
  <c r="F27" i="3"/>
  <c r="G22" i="3"/>
  <c r="F22" i="3"/>
  <c r="G21" i="3"/>
  <c r="F21" i="3"/>
  <c r="O62" i="10" l="1"/>
  <c r="Q62" i="10" s="1"/>
  <c r="O61" i="10"/>
  <c r="Q61" i="10" s="1"/>
  <c r="O59" i="10"/>
  <c r="Q59" i="10" s="1"/>
  <c r="O58" i="10"/>
  <c r="Q58" i="10" s="1"/>
  <c r="O57" i="10"/>
  <c r="Q57" i="10" s="1"/>
  <c r="O56" i="10"/>
  <c r="Q56" i="10" s="1"/>
  <c r="N46" i="10"/>
  <c r="P46" i="10" s="1"/>
  <c r="N45" i="10"/>
  <c r="P45" i="10" s="1"/>
  <c r="N44" i="10"/>
  <c r="P44" i="10" s="1"/>
  <c r="N43" i="10"/>
  <c r="P43" i="10" s="1"/>
  <c r="N42" i="10"/>
  <c r="P42" i="10" s="1"/>
  <c r="N41" i="10"/>
  <c r="P41" i="10" s="1"/>
  <c r="L27" i="10"/>
  <c r="N27" i="10" s="1"/>
  <c r="L26" i="10"/>
  <c r="N26" i="10" s="1"/>
  <c r="L25" i="10"/>
  <c r="N25" i="10" s="1"/>
  <c r="L24" i="10"/>
  <c r="N24" i="10" s="1"/>
  <c r="K14" i="10"/>
  <c r="M14" i="10" s="1"/>
  <c r="K13" i="10"/>
  <c r="M13" i="10" s="1"/>
  <c r="H13" i="8"/>
  <c r="F21" i="8" s="1"/>
  <c r="F10" i="8"/>
  <c r="N62" i="10"/>
  <c r="N61" i="10"/>
  <c r="N60" i="10"/>
  <c r="N59" i="10"/>
  <c r="N58" i="10"/>
  <c r="N57" i="10"/>
  <c r="F13" i="8" s="1"/>
  <c r="N56" i="10"/>
  <c r="N55" i="10"/>
  <c r="N53" i="10"/>
  <c r="N52" i="10"/>
  <c r="M45" i="10"/>
  <c r="M44" i="10"/>
  <c r="F12" i="8" s="1"/>
  <c r="M43" i="10"/>
  <c r="M42" i="10"/>
  <c r="M41" i="10"/>
  <c r="H12" i="8" s="1"/>
  <c r="F20" i="8" s="1"/>
  <c r="M40" i="10"/>
  <c r="M38" i="10"/>
  <c r="M37" i="10"/>
  <c r="K26" i="10"/>
  <c r="K25" i="10"/>
  <c r="K21" i="10"/>
  <c r="K20" i="10"/>
  <c r="J14" i="10"/>
  <c r="H10" i="8" s="1"/>
  <c r="F18" i="8" s="1"/>
  <c r="J12" i="10"/>
  <c r="J10" i="10"/>
  <c r="J9" i="10"/>
  <c r="J8" i="10"/>
  <c r="L63" i="10"/>
  <c r="K63" i="10"/>
  <c r="J63" i="10"/>
  <c r="I63" i="10"/>
  <c r="H63" i="10"/>
  <c r="G63" i="10"/>
  <c r="F63" i="10"/>
  <c r="E63" i="10"/>
  <c r="C63" i="10"/>
  <c r="B63" i="10"/>
  <c r="L62" i="10"/>
  <c r="K62" i="10"/>
  <c r="J62" i="10"/>
  <c r="I62" i="10"/>
  <c r="H62" i="10"/>
  <c r="G62" i="10"/>
  <c r="F62" i="10"/>
  <c r="E62" i="10"/>
  <c r="D62" i="10"/>
  <c r="C62" i="10"/>
  <c r="B62" i="10"/>
  <c r="L61" i="10"/>
  <c r="K61" i="10"/>
  <c r="J61" i="10"/>
  <c r="I61" i="10"/>
  <c r="H61" i="10"/>
  <c r="G61" i="10"/>
  <c r="F61" i="10"/>
  <c r="E61" i="10"/>
  <c r="D61" i="10"/>
  <c r="C61" i="10"/>
  <c r="B61" i="10"/>
  <c r="L60" i="10"/>
  <c r="K60" i="10"/>
  <c r="J60" i="10"/>
  <c r="H60" i="10"/>
  <c r="G60" i="10"/>
  <c r="F60" i="10"/>
  <c r="E60" i="10"/>
  <c r="D60" i="10"/>
  <c r="C60" i="10"/>
  <c r="B60" i="10"/>
  <c r="L59" i="10"/>
  <c r="K59" i="10"/>
  <c r="J59" i="10"/>
  <c r="I59" i="10"/>
  <c r="H59" i="10"/>
  <c r="G59" i="10"/>
  <c r="E59" i="10"/>
  <c r="D59" i="10"/>
  <c r="C59" i="10"/>
  <c r="B59" i="10"/>
  <c r="L58" i="10"/>
  <c r="K58" i="10"/>
  <c r="J58" i="10"/>
  <c r="I58" i="10"/>
  <c r="H58" i="10"/>
  <c r="G58" i="10"/>
  <c r="F58" i="10"/>
  <c r="E58" i="10"/>
  <c r="D58" i="10"/>
  <c r="C58" i="10"/>
  <c r="B58" i="10"/>
  <c r="L57" i="10"/>
  <c r="K57" i="10"/>
  <c r="J57" i="10"/>
  <c r="I57" i="10"/>
  <c r="H57" i="10"/>
  <c r="G57" i="10"/>
  <c r="F57" i="10"/>
  <c r="E57" i="10"/>
  <c r="D57" i="10"/>
  <c r="C57" i="10"/>
  <c r="B57" i="10"/>
  <c r="L56" i="10"/>
  <c r="K56" i="10"/>
  <c r="J56" i="10"/>
  <c r="I56" i="10"/>
  <c r="H56" i="10"/>
  <c r="G56" i="10"/>
  <c r="F56" i="10"/>
  <c r="E56" i="10"/>
  <c r="D56" i="10"/>
  <c r="C56" i="10"/>
  <c r="B56" i="10"/>
  <c r="L55" i="10"/>
  <c r="K55" i="10"/>
  <c r="J55" i="10"/>
  <c r="I55" i="10"/>
  <c r="H55" i="10"/>
  <c r="G55" i="10"/>
  <c r="F55" i="10"/>
  <c r="E55" i="10"/>
  <c r="D55" i="10"/>
  <c r="C55" i="10"/>
  <c r="B55" i="10"/>
  <c r="L54" i="10"/>
  <c r="K54" i="10"/>
  <c r="J54" i="10"/>
  <c r="I54" i="10"/>
  <c r="H54" i="10"/>
  <c r="G54" i="10"/>
  <c r="F54" i="10"/>
  <c r="E54" i="10"/>
  <c r="D54" i="10"/>
  <c r="C54" i="10"/>
  <c r="B54" i="10"/>
  <c r="L52" i="10"/>
  <c r="K52" i="10"/>
  <c r="I52" i="10"/>
  <c r="H52" i="10"/>
  <c r="G52" i="10"/>
  <c r="E52" i="10"/>
  <c r="D52" i="10"/>
  <c r="C52" i="10"/>
  <c r="B52" i="10"/>
  <c r="J48" i="10"/>
  <c r="I48" i="10"/>
  <c r="H48" i="10"/>
  <c r="G48" i="10"/>
  <c r="F48" i="10"/>
  <c r="E48" i="10"/>
  <c r="C48" i="10"/>
  <c r="B48" i="10"/>
  <c r="K47" i="10"/>
  <c r="I47" i="10"/>
  <c r="H47" i="10"/>
  <c r="G47" i="10"/>
  <c r="F47" i="10"/>
  <c r="E47" i="10"/>
  <c r="D47" i="10"/>
  <c r="C47" i="10"/>
  <c r="K46" i="10"/>
  <c r="J46" i="10"/>
  <c r="I46" i="10"/>
  <c r="H46" i="10"/>
  <c r="G46" i="10"/>
  <c r="F46" i="10"/>
  <c r="E46" i="10"/>
  <c r="D46" i="10"/>
  <c r="C46" i="10"/>
  <c r="B46" i="10"/>
  <c r="K45" i="10"/>
  <c r="J45" i="10"/>
  <c r="I45" i="10"/>
  <c r="H45" i="10"/>
  <c r="G45" i="10"/>
  <c r="F45" i="10"/>
  <c r="E45" i="10"/>
  <c r="D45" i="10"/>
  <c r="C45" i="10"/>
  <c r="B45" i="10"/>
  <c r="K44" i="10"/>
  <c r="J44" i="10"/>
  <c r="I44" i="10"/>
  <c r="H44" i="10"/>
  <c r="G44" i="10"/>
  <c r="F44" i="10"/>
  <c r="E44" i="10"/>
  <c r="D44" i="10"/>
  <c r="C44" i="10"/>
  <c r="B44" i="10"/>
  <c r="K43" i="10"/>
  <c r="J43" i="10"/>
  <c r="I43" i="10"/>
  <c r="H43" i="10"/>
  <c r="G43" i="10"/>
  <c r="F43" i="10"/>
  <c r="E43" i="10"/>
  <c r="D43" i="10"/>
  <c r="C43" i="10"/>
  <c r="B43" i="10"/>
  <c r="K42" i="10"/>
  <c r="J42" i="10"/>
  <c r="I42" i="10"/>
  <c r="H42" i="10"/>
  <c r="G42" i="10"/>
  <c r="F42" i="10"/>
  <c r="E42" i="10"/>
  <c r="D42" i="10"/>
  <c r="C42" i="10"/>
  <c r="B42" i="10"/>
  <c r="K41" i="10"/>
  <c r="J41" i="10"/>
  <c r="I41" i="10"/>
  <c r="H41" i="10"/>
  <c r="G41" i="10"/>
  <c r="F41" i="10"/>
  <c r="E41" i="10"/>
  <c r="D41" i="10"/>
  <c r="C41" i="10"/>
  <c r="B41" i="10"/>
  <c r="K40" i="10"/>
  <c r="J40" i="10"/>
  <c r="I40" i="10"/>
  <c r="H40" i="10"/>
  <c r="G40" i="10"/>
  <c r="F40" i="10"/>
  <c r="E40" i="10"/>
  <c r="D40" i="10"/>
  <c r="C40" i="10"/>
  <c r="B40" i="10"/>
  <c r="K39" i="10"/>
  <c r="J39" i="10"/>
  <c r="I39" i="10"/>
  <c r="H39" i="10"/>
  <c r="G39" i="10"/>
  <c r="F39" i="10"/>
  <c r="E39" i="10"/>
  <c r="D39" i="10"/>
  <c r="C39" i="10"/>
  <c r="B39" i="10"/>
  <c r="K37" i="10"/>
  <c r="I37" i="10"/>
  <c r="H37" i="10"/>
  <c r="G37" i="10"/>
  <c r="E37" i="10"/>
  <c r="D37" i="10"/>
  <c r="C37" i="10"/>
  <c r="B37" i="10"/>
  <c r="I29" i="10"/>
  <c r="I28" i="10"/>
  <c r="I26" i="10"/>
  <c r="I25" i="10"/>
  <c r="I24" i="10"/>
  <c r="H31" i="10"/>
  <c r="H30" i="10"/>
  <c r="H29" i="10"/>
  <c r="H28" i="10"/>
  <c r="H27" i="10"/>
  <c r="H26" i="10"/>
  <c r="H25" i="10"/>
  <c r="H23" i="10"/>
  <c r="H22" i="10"/>
  <c r="H20" i="10"/>
  <c r="G31" i="10"/>
  <c r="G30" i="10"/>
  <c r="G29" i="10"/>
  <c r="G28" i="10"/>
  <c r="G27" i="10"/>
  <c r="G26" i="10"/>
  <c r="G25" i="10"/>
  <c r="G23" i="10"/>
  <c r="G22" i="10"/>
  <c r="G20" i="10"/>
  <c r="F27" i="10"/>
  <c r="F25" i="10"/>
  <c r="F24" i="10"/>
  <c r="E23" i="10"/>
  <c r="C31" i="10"/>
  <c r="B31" i="10"/>
  <c r="C30" i="10"/>
  <c r="D29" i="10"/>
  <c r="B29" i="10"/>
  <c r="D28" i="10"/>
  <c r="C28" i="10"/>
  <c r="C27" i="10"/>
  <c r="B27" i="10"/>
  <c r="D26" i="10"/>
  <c r="C26" i="10"/>
  <c r="C24" i="10"/>
  <c r="D22" i="10"/>
  <c r="C22" i="10"/>
  <c r="G13" i="8" l="1"/>
  <c r="G21" i="8" s="1"/>
  <c r="H21" i="8" s="1"/>
  <c r="G11" i="8"/>
  <c r="G19" i="8" s="1"/>
  <c r="H19" i="8" s="1"/>
  <c r="H11" i="8"/>
  <c r="F19" i="8" s="1"/>
  <c r="G12" i="8"/>
  <c r="G20" i="8" s="1"/>
  <c r="H20" i="8" s="1"/>
  <c r="F11" i="8"/>
  <c r="H15" i="10"/>
  <c r="H14" i="10"/>
  <c r="H13" i="10"/>
  <c r="H12" i="10"/>
  <c r="H11" i="10"/>
  <c r="H10" i="10"/>
  <c r="H9" i="10"/>
  <c r="H7" i="10"/>
  <c r="H6" i="10"/>
  <c r="G11" i="10"/>
  <c r="G9" i="10"/>
  <c r="G8" i="10"/>
  <c r="F15" i="10"/>
  <c r="F14" i="10"/>
  <c r="F13" i="10"/>
  <c r="F12" i="10"/>
  <c r="F11" i="10"/>
  <c r="F10" i="10"/>
  <c r="F9" i="10"/>
  <c r="F8" i="10"/>
  <c r="F7" i="10"/>
  <c r="F6" i="10"/>
  <c r="E13" i="10"/>
  <c r="E12" i="10"/>
  <c r="E10" i="10"/>
  <c r="E6" i="10"/>
  <c r="D15" i="10"/>
  <c r="D14" i="10"/>
  <c r="D12" i="10"/>
  <c r="D11" i="10"/>
  <c r="D10" i="10"/>
  <c r="D8" i="10"/>
  <c r="D6" i="10"/>
  <c r="C15" i="10"/>
  <c r="C12" i="10"/>
  <c r="C10" i="10"/>
  <c r="C8" i="10"/>
  <c r="C7" i="10"/>
  <c r="C6" i="10"/>
  <c r="B15" i="10"/>
  <c r="B14" i="10"/>
  <c r="B13" i="10"/>
  <c r="B12" i="10"/>
  <c r="B11" i="10"/>
  <c r="B10" i="10"/>
  <c r="B9" i="10"/>
  <c r="B8" i="10"/>
  <c r="G32" i="8" l="1"/>
  <c r="H37" i="8" s="1"/>
  <c r="O37" i="8" s="1"/>
  <c r="C33" i="8"/>
  <c r="H35" i="8" l="1"/>
  <c r="O35" i="8" s="1"/>
  <c r="G38" i="8"/>
  <c r="G41" i="8"/>
  <c r="H44" i="8"/>
  <c r="O44" i="8" s="1"/>
  <c r="G37" i="8"/>
  <c r="G44" i="8"/>
  <c r="G36" i="8"/>
  <c r="G43" i="8"/>
  <c r="H40" i="8"/>
  <c r="O40" i="8" s="1"/>
  <c r="H36" i="8"/>
  <c r="O36" i="8" s="1"/>
  <c r="G42" i="8"/>
  <c r="H39" i="8"/>
  <c r="O39" i="8" s="1"/>
  <c r="H43" i="8"/>
  <c r="O43" i="8" s="1"/>
  <c r="G39" i="8"/>
  <c r="G35" i="8"/>
  <c r="H41" i="8"/>
  <c r="O41" i="8" s="1"/>
  <c r="H42" i="8"/>
  <c r="O42" i="8" s="1"/>
  <c r="H38" i="8"/>
  <c r="O38" i="8" s="1"/>
  <c r="B9" i="7"/>
  <c r="B8" i="7"/>
  <c r="B6" i="7"/>
  <c r="B38" i="8" l="1"/>
  <c r="C13" i="23" s="1"/>
  <c r="C6" i="8"/>
  <c r="G10" i="8"/>
  <c r="G18" i="8" s="1"/>
  <c r="H18" i="8" s="1"/>
  <c r="N44" i="8" l="1"/>
  <c r="N37" i="8"/>
  <c r="N36" i="8"/>
  <c r="N39" i="8"/>
  <c r="N43" i="8"/>
  <c r="O12" i="22"/>
  <c r="I41" i="2"/>
  <c r="I31" i="2"/>
  <c r="I35" i="2"/>
  <c r="I34" i="2"/>
  <c r="I37" i="2"/>
  <c r="I36" i="2"/>
  <c r="I28" i="2"/>
  <c r="I33" i="2"/>
  <c r="I38" i="2"/>
  <c r="I40" i="2"/>
  <c r="I27" i="2"/>
  <c r="I30" i="2"/>
  <c r="I26" i="2"/>
  <c r="I32" i="2"/>
  <c r="I29" i="2"/>
  <c r="I42" i="2"/>
  <c r="I39" i="2"/>
  <c r="H7" i="8"/>
  <c r="A27" i="8"/>
  <c r="G4" i="3"/>
  <c r="G3" i="3"/>
  <c r="F8" i="3"/>
  <c r="F6" i="3"/>
  <c r="F5" i="3"/>
  <c r="F4" i="3"/>
  <c r="F3" i="3"/>
  <c r="E12" i="3"/>
  <c r="L38" i="8" l="1"/>
  <c r="K38" i="8" s="1"/>
  <c r="E38" i="8" s="1"/>
  <c r="L41" i="8"/>
  <c r="L42" i="8"/>
  <c r="N38" i="8"/>
  <c r="N42" i="8"/>
  <c r="L35" i="8"/>
  <c r="N35" i="8"/>
  <c r="L40" i="8"/>
  <c r="N40" i="8"/>
  <c r="L44" i="8"/>
  <c r="L36" i="8"/>
  <c r="N41" i="8"/>
  <c r="L39" i="8"/>
  <c r="L37" i="8"/>
  <c r="L43" i="8"/>
  <c r="K18" i="8"/>
  <c r="L18" i="8" s="1"/>
  <c r="K21" i="8"/>
  <c r="L21" i="8" s="1"/>
  <c r="I18" i="8"/>
  <c r="K19" i="8"/>
  <c r="L19" i="8" s="1"/>
  <c r="K20" i="8"/>
  <c r="L20" i="8" s="1"/>
  <c r="I21" i="8"/>
  <c r="I19" i="8"/>
  <c r="I20" i="8"/>
  <c r="J38" i="8" l="1"/>
  <c r="K43" i="8"/>
  <c r="E43" i="8" s="1"/>
  <c r="J43" i="8"/>
  <c r="K37" i="8"/>
  <c r="E37" i="8" s="1"/>
  <c r="J37" i="8"/>
  <c r="J40" i="8"/>
  <c r="J39" i="8"/>
  <c r="K39" i="8" s="1"/>
  <c r="E39" i="8" s="1"/>
  <c r="K42" i="8"/>
  <c r="E42" i="8" s="1"/>
  <c r="J42" i="8"/>
  <c r="J36" i="8"/>
  <c r="K36" i="8"/>
  <c r="E36" i="8" s="1"/>
  <c r="J44" i="8"/>
  <c r="K44" i="8" s="1"/>
  <c r="E44" i="8" s="1"/>
  <c r="J35" i="8"/>
  <c r="K35" i="8" s="1"/>
  <c r="E35" i="8" s="1"/>
  <c r="J41" i="8"/>
  <c r="E21" i="8"/>
  <c r="N18" i="8"/>
  <c r="N20" i="8"/>
  <c r="N19" i="8"/>
  <c r="N21" i="8"/>
  <c r="K41" i="8" l="1"/>
  <c r="E41" i="8" s="1"/>
  <c r="K40" i="8"/>
  <c r="E18" i="8"/>
  <c r="E19" i="8"/>
  <c r="E20" i="8"/>
  <c r="U32" i="8" l="1"/>
  <c r="U34" i="8" s="1"/>
  <c r="E40" i="8"/>
  <c r="C15" i="23" s="1"/>
  <c r="T22" i="8"/>
  <c r="P8" i="8"/>
  <c r="Q12" i="8" s="1"/>
  <c r="Q13" i="8" s="1"/>
  <c r="R22" i="8"/>
  <c r="I4" i="22" s="1"/>
  <c r="G3" i="22" s="1"/>
  <c r="Q22" i="8"/>
  <c r="U42" i="8" l="1"/>
  <c r="U37" i="8"/>
  <c r="U38" i="8"/>
  <c r="U40" i="8"/>
  <c r="U33" i="8"/>
  <c r="AH3" i="8" s="1" a="1"/>
  <c r="AH3" i="8" s="1"/>
  <c r="AI3" i="8" s="1"/>
  <c r="U41" i="8"/>
  <c r="U39" i="8"/>
  <c r="U35" i="8"/>
  <c r="U43" i="8"/>
  <c r="U36" i="8"/>
  <c r="C17" i="20"/>
  <c r="C17" i="23"/>
  <c r="H4" i="22"/>
  <c r="K4" i="22" s="1"/>
  <c r="H14" i="22" s="1"/>
  <c r="R11" i="8"/>
  <c r="T11" i="8" s="1"/>
  <c r="AI28" i="8" s="1"/>
  <c r="AJ28" i="8" s="1"/>
  <c r="AL28" i="8" s="1"/>
  <c r="R13" i="8"/>
  <c r="T13" i="8" s="1"/>
  <c r="AI36" i="8" s="1"/>
  <c r="AJ36" i="8" s="1"/>
  <c r="AL36" i="8" s="1"/>
  <c r="Q8" i="8"/>
  <c r="Q9" i="8" s="1"/>
  <c r="R10" i="8"/>
  <c r="T10" i="8" s="1"/>
  <c r="AI22" i="8" s="1"/>
  <c r="AJ22" i="8" s="1"/>
  <c r="AL22" i="8" s="1"/>
  <c r="Q10" i="8"/>
  <c r="Q11" i="8" s="1"/>
  <c r="R9" i="8"/>
  <c r="T9" i="8" s="1"/>
  <c r="AI15" i="8" s="1"/>
  <c r="AJ15" i="8" s="1"/>
  <c r="AL15" i="8" s="1"/>
  <c r="R12" i="8"/>
  <c r="T12" i="8" s="1"/>
  <c r="AI33" i="8" s="1"/>
  <c r="AJ33" i="8" s="1"/>
  <c r="AL33" i="8" s="1"/>
  <c r="R8" i="8"/>
  <c r="T8" i="8" s="1"/>
  <c r="H17" i="22" l="1"/>
  <c r="H9" i="22"/>
  <c r="H10" i="22"/>
  <c r="H16" i="22"/>
  <c r="J16" i="22" s="1"/>
  <c r="H8" i="22"/>
  <c r="AH7" i="8" a="1"/>
  <c r="AH7" i="8" s="1"/>
  <c r="AI7" i="8" s="1"/>
  <c r="R37" i="8" s="1"/>
  <c r="H12" i="22"/>
  <c r="J12" i="22" s="1"/>
  <c r="H15" i="22"/>
  <c r="J15" i="22" s="1"/>
  <c r="H13" i="22"/>
  <c r="H7" i="22"/>
  <c r="AH2" i="8"/>
  <c r="AI2" i="8" s="1"/>
  <c r="H11" i="22"/>
  <c r="J11" i="22" s="1"/>
  <c r="AH6" i="8"/>
  <c r="AI6" i="8" s="1"/>
  <c r="AH5" i="8" a="1"/>
  <c r="AH5" i="8" s="1"/>
  <c r="AI5" i="8" s="1"/>
  <c r="AH4" i="8"/>
  <c r="AI4" i="8" s="1"/>
  <c r="J7" i="22"/>
  <c r="AJ12" i="22" s="1"/>
  <c r="J9" i="22"/>
  <c r="J14" i="22"/>
  <c r="J13" i="22"/>
  <c r="J8" i="22"/>
  <c r="AJ13" i="22" s="1" a="1"/>
  <c r="AJ13" i="22" s="1"/>
  <c r="J17" i="22"/>
  <c r="J10" i="22"/>
  <c r="AI35" i="8"/>
  <c r="AJ35" i="8" s="1"/>
  <c r="AL35" i="8" s="1"/>
  <c r="AI38" i="8"/>
  <c r="AJ38" i="8" s="1"/>
  <c r="AL38" i="8" s="1"/>
  <c r="AI25" i="8"/>
  <c r="AJ25" i="8" s="1"/>
  <c r="AL25" i="8" s="1"/>
  <c r="AI26" i="8"/>
  <c r="AJ26" i="8" s="1"/>
  <c r="AL26" i="8" s="1"/>
  <c r="AI27" i="8"/>
  <c r="AJ27" i="8" s="1"/>
  <c r="AL27" i="8" s="1"/>
  <c r="AI21" i="8"/>
  <c r="AJ21" i="8" s="1"/>
  <c r="AL21" i="8" s="1"/>
  <c r="AI24" i="8"/>
  <c r="AJ24" i="8" s="1"/>
  <c r="AL24" i="8" s="1"/>
  <c r="AI20" i="8"/>
  <c r="AJ20" i="8" s="1"/>
  <c r="AL20" i="8" s="1"/>
  <c r="AI19" i="8"/>
  <c r="AJ19" i="8" s="1"/>
  <c r="AL19" i="8" s="1"/>
  <c r="AI23" i="8"/>
  <c r="AJ23" i="8" s="1"/>
  <c r="AL23" i="8" s="1"/>
  <c r="AI37" i="8"/>
  <c r="AJ37" i="8" s="1"/>
  <c r="AL37" i="8" s="1"/>
  <c r="AI30" i="8"/>
  <c r="AJ30" i="8" s="1"/>
  <c r="AL30" i="8" s="1"/>
  <c r="AI16" i="8"/>
  <c r="AJ16" i="8" s="1"/>
  <c r="AL16" i="8" s="1"/>
  <c r="AI17" i="8"/>
  <c r="AJ17" i="8" s="1"/>
  <c r="AL17" i="8" s="1"/>
  <c r="AI18" i="8"/>
  <c r="AJ18" i="8" s="1"/>
  <c r="AL18" i="8" s="1"/>
  <c r="AI31" i="8"/>
  <c r="AJ31" i="8" s="1"/>
  <c r="AL31" i="8" s="1"/>
  <c r="AI32" i="8"/>
  <c r="AJ32" i="8" s="1"/>
  <c r="AL32" i="8" s="1"/>
  <c r="AI29" i="8"/>
  <c r="AJ29" i="8" s="1"/>
  <c r="AL29" i="8" s="1"/>
  <c r="AI34" i="8"/>
  <c r="AJ34" i="8" s="1"/>
  <c r="AL34" i="8" s="1"/>
  <c r="AI10" i="8"/>
  <c r="AJ10" i="8" s="1"/>
  <c r="AL10" i="8" s="1"/>
  <c r="AI14" i="8"/>
  <c r="AJ14" i="8" s="1"/>
  <c r="AL14" i="8" s="1"/>
  <c r="AI13" i="8"/>
  <c r="AJ13" i="8" s="1"/>
  <c r="AL13" i="8" s="1"/>
  <c r="AI11" i="8"/>
  <c r="AJ11" i="8" s="1"/>
  <c r="AL11" i="8" s="1"/>
  <c r="AI9" i="8"/>
  <c r="AI12" i="8"/>
  <c r="AJ12" i="8" s="1"/>
  <c r="AL12" i="8" s="1"/>
  <c r="R34" i="8"/>
  <c r="E26" i="23" s="1"/>
  <c r="R36" i="8" l="1"/>
  <c r="E28" i="23" s="1"/>
  <c r="R35" i="8"/>
  <c r="E27" i="23" s="1"/>
  <c r="AI2" i="22"/>
  <c r="AA23" i="22" a="1"/>
  <c r="AA23" i="22" s="1"/>
  <c r="AA26" i="22" a="1"/>
  <c r="AA26" i="22" s="1"/>
  <c r="AA12" i="22" a="1"/>
  <c r="AA12" i="22" s="1"/>
  <c r="AI6" i="22"/>
  <c r="AA18" i="22" a="1"/>
  <c r="AA18" i="22" s="1"/>
  <c r="AA16" i="22" a="1"/>
  <c r="AA16" i="22" s="1"/>
  <c r="AA29" i="22" a="1"/>
  <c r="AA29" i="22" s="1"/>
  <c r="AA22" i="22" a="1"/>
  <c r="AA22" i="22" s="1"/>
  <c r="AA25" i="22" a="1"/>
  <c r="AA25" i="22" s="1"/>
  <c r="AA20" i="22" a="1"/>
  <c r="AA20" i="22" s="1"/>
  <c r="AA27" i="22" a="1"/>
  <c r="AA27" i="22" s="1"/>
  <c r="AJ6" i="22"/>
  <c r="AA24" i="22" a="1"/>
  <c r="AA24" i="22" s="1"/>
  <c r="AA21" i="22" a="1"/>
  <c r="AA21" i="22" s="1"/>
  <c r="AJ2" i="22"/>
  <c r="AA13" i="22" a="1"/>
  <c r="AA13" i="22" s="1"/>
  <c r="AA11" i="22" a="1"/>
  <c r="AA11" i="22" s="1"/>
  <c r="AA9" i="22" a="1"/>
  <c r="AA9" i="22" s="1"/>
  <c r="AA17" i="22" a="1"/>
  <c r="AA17" i="22" s="1"/>
  <c r="AA19" i="22" a="1"/>
  <c r="AA19" i="22" s="1"/>
  <c r="AA10" i="22" a="1"/>
  <c r="AA10" i="22" s="1"/>
  <c r="AA28" i="22" a="1"/>
  <c r="AA28" i="22" s="1"/>
  <c r="AJ3" i="22" a="1"/>
  <c r="AJ3" i="22" s="1"/>
  <c r="AA7" i="22" a="1"/>
  <c r="AA7" i="22" s="1"/>
  <c r="AG36" i="8"/>
  <c r="AJ9" i="8"/>
  <c r="AL9" i="8" s="1"/>
  <c r="AG28" i="8"/>
  <c r="AG37" i="8"/>
  <c r="AG27" i="8"/>
  <c r="AG35" i="8"/>
  <c r="AG25" i="8"/>
  <c r="AG26" i="8"/>
  <c r="AG38" i="8"/>
  <c r="AG17" i="8"/>
  <c r="AG24" i="8"/>
  <c r="AG29" i="8"/>
  <c r="AG19" i="8"/>
  <c r="AG20" i="8"/>
  <c r="AG21" i="8"/>
  <c r="AG22" i="8"/>
  <c r="AG16" i="8"/>
  <c r="AG15" i="8"/>
  <c r="AG34" i="8"/>
  <c r="AG23" i="8"/>
  <c r="AG32" i="8"/>
  <c r="AG18" i="8"/>
  <c r="AG30" i="8"/>
  <c r="AG33" i="8"/>
  <c r="AG31" i="8"/>
  <c r="S34" i="8"/>
  <c r="F26" i="23" s="1"/>
  <c r="S37" i="8"/>
  <c r="AG11" i="8" l="1"/>
  <c r="AG13" i="8"/>
  <c r="AG9" i="8"/>
  <c r="AG12" i="8"/>
  <c r="AG10" i="8"/>
  <c r="AG14" i="8"/>
  <c r="U13" i="8"/>
  <c r="U11" i="8"/>
  <c r="U12" i="8"/>
  <c r="W12" i="8" s="1"/>
  <c r="U9" i="8"/>
  <c r="W9" i="8" s="1"/>
  <c r="U10" i="8"/>
  <c r="S36" i="8"/>
  <c r="F28" i="23" s="1"/>
  <c r="X11" i="8" l="1"/>
  <c r="W11" i="8"/>
  <c r="X10" i="8"/>
  <c r="AA10" i="8" s="1"/>
  <c r="W10" i="8"/>
  <c r="V13" i="8"/>
  <c r="W13" i="8"/>
  <c r="Y13" i="8" s="1"/>
  <c r="V12" i="8"/>
  <c r="X12" i="8"/>
  <c r="AA12" i="8" s="1"/>
  <c r="U8" i="8"/>
  <c r="V11" i="8"/>
  <c r="Y11" i="8" s="1"/>
  <c r="X13" i="8"/>
  <c r="V9" i="8"/>
  <c r="Y9" i="8" s="1"/>
  <c r="X9" i="8"/>
  <c r="AA9" i="8" s="1"/>
  <c r="V10" i="8"/>
  <c r="Y12" i="8"/>
  <c r="S35" i="8"/>
  <c r="AA11" i="8"/>
  <c r="AA13" i="8"/>
  <c r="S38" i="8" l="1"/>
  <c r="F27" i="23"/>
  <c r="F29" i="23" s="1"/>
  <c r="Z10" i="8"/>
  <c r="X8" i="8"/>
  <c r="W8" i="8"/>
  <c r="Z11" i="8"/>
  <c r="V8" i="8"/>
  <c r="Z12" i="8"/>
  <c r="Z9" i="8"/>
  <c r="Z13" i="8"/>
  <c r="Y10" i="8"/>
  <c r="R38" i="8"/>
  <c r="AA8" i="8"/>
  <c r="Z8" i="8" l="1"/>
  <c r="O12" i="8" s="1"/>
  <c r="Y8" i="8"/>
  <c r="O15" i="8" s="1"/>
  <c r="O9" i="8" l="1"/>
  <c r="O13" i="8"/>
  <c r="O11" i="8"/>
  <c r="O8" i="8"/>
  <c r="O10" i="8"/>
  <c r="T21" i="8" l="1"/>
  <c r="AC7" i="8"/>
  <c r="S22" i="8"/>
  <c r="J4" i="22" s="1"/>
  <c r="Q21" i="8"/>
  <c r="O14" i="8"/>
  <c r="R21" i="8"/>
  <c r="C4" i="22" s="1"/>
  <c r="A3" i="22" s="1"/>
  <c r="C13" i="20" l="1"/>
  <c r="B4" i="22"/>
  <c r="C19" i="20"/>
  <c r="C19" i="23"/>
  <c r="AC9" i="8"/>
  <c r="AC10" i="8"/>
  <c r="AC8" i="8"/>
  <c r="C15" i="20"/>
  <c r="D4" i="22" l="1"/>
  <c r="AC13" i="8"/>
  <c r="AD13" i="8" s="1"/>
  <c r="AC11" i="8" s="1"/>
  <c r="AA15" i="22" a="1"/>
  <c r="AA15" i="22" s="1"/>
  <c r="AA14" i="22" a="1"/>
  <c r="AA14" i="22" s="1"/>
  <c r="B7" i="22" l="1"/>
  <c r="D7" i="22" s="1"/>
  <c r="AG12" i="22" s="1"/>
  <c r="B10" i="22"/>
  <c r="D10" i="22" s="1"/>
  <c r="B14" i="22"/>
  <c r="D14" i="22" s="1"/>
  <c r="B15" i="22"/>
  <c r="D15" i="22" s="1"/>
  <c r="B11" i="22"/>
  <c r="D11" i="22" s="1"/>
  <c r="B17" i="22"/>
  <c r="B12" i="22"/>
  <c r="D12" i="22" s="1"/>
  <c r="B16" i="22"/>
  <c r="D16" i="22" s="1"/>
  <c r="B9" i="22"/>
  <c r="D9" i="22" s="1"/>
  <c r="B13" i="22"/>
  <c r="D13" i="22" s="1"/>
  <c r="B8" i="22"/>
  <c r="D8" i="22" s="1"/>
  <c r="AG13" i="22" s="1" a="1"/>
  <c r="AG13" i="22" s="1"/>
  <c r="W7" i="22" a="1"/>
  <c r="W7" i="22" s="1"/>
  <c r="AG6" i="22"/>
  <c r="AG3" i="22" a="1"/>
  <c r="AG3" i="22" s="1"/>
  <c r="AF2" i="22"/>
  <c r="P9" i="22" s="1"/>
  <c r="P11" i="22"/>
  <c r="P10" i="22"/>
  <c r="AF3" i="22" l="1" a="1"/>
  <c r="AF3" i="22" s="1"/>
  <c r="W27" i="22" a="1"/>
  <c r="W27" i="22" s="1"/>
  <c r="W12" i="22" a="1"/>
  <c r="W12" i="22" s="1"/>
  <c r="W25" i="22" a="1"/>
  <c r="W25" i="22" s="1"/>
  <c r="W15" i="22" a="1"/>
  <c r="W15" i="22" s="1"/>
  <c r="W11" i="22" a="1"/>
  <c r="W11" i="22" s="1"/>
  <c r="W31" i="22" a="1"/>
  <c r="W31" i="22" s="1"/>
  <c r="W16" i="22" a="1"/>
  <c r="W16" i="22" s="1"/>
  <c r="W22" i="22" a="1"/>
  <c r="W22" i="22" s="1"/>
  <c r="W9" i="22" a="1"/>
  <c r="W9" i="22" s="1"/>
  <c r="W18" i="22" a="1"/>
  <c r="W18" i="22" s="1"/>
  <c r="W20" i="22" a="1"/>
  <c r="W20" i="22" s="1"/>
  <c r="AG2" i="22"/>
  <c r="W14" i="22" a="1"/>
  <c r="W14" i="22" s="1"/>
  <c r="W21" i="22" a="1"/>
  <c r="W21" i="22" s="1"/>
  <c r="W26" i="22" a="1"/>
  <c r="W26" i="22" s="1"/>
  <c r="W17" i="22" a="1"/>
  <c r="W17" i="22" s="1"/>
  <c r="L8" i="22"/>
  <c r="D17" i="22"/>
  <c r="W28" i="22" a="1"/>
  <c r="W28" i="22" s="1"/>
  <c r="W23" i="22" a="1"/>
  <c r="W23" i="22" s="1"/>
  <c r="AF6" i="22"/>
  <c r="AI3" i="22" a="1"/>
  <c r="AI3" i="22" s="1"/>
  <c r="W30" i="22" a="1"/>
  <c r="W30" i="22" s="1"/>
  <c r="W19" i="22" a="1"/>
  <c r="W19" i="22" s="1"/>
  <c r="W13" i="22" a="1"/>
  <c r="W13" i="22" s="1"/>
  <c r="W10" i="22" a="1"/>
  <c r="W10" i="22" s="1"/>
  <c r="W24" i="22" a="1"/>
  <c r="W24" i="22" s="1"/>
  <c r="W29" i="22" a="1"/>
  <c r="W29" i="22" s="1"/>
  <c r="P12" i="22"/>
  <c r="N8" i="22"/>
  <c r="N9" i="22"/>
  <c r="O9" i="22" s="1"/>
  <c r="N11" i="22" l="1"/>
  <c r="O11" i="22" s="1"/>
  <c r="N10" i="22"/>
  <c r="O10" i="22" s="1"/>
  <c r="O8" i="22"/>
  <c r="Q12" i="22" s="1"/>
  <c r="N12" i="22" l="1"/>
  <c r="Q9" i="22"/>
  <c r="R9" i="22" s="1"/>
  <c r="Q10" i="22"/>
  <c r="R10" i="22" s="1"/>
  <c r="F27" i="20" s="1"/>
  <c r="Q11" i="22"/>
  <c r="R11" i="22" s="1"/>
  <c r="F28" i="20" s="1"/>
  <c r="F26" i="20" l="1"/>
  <c r="R12" i="22"/>
  <c r="F29" i="20" s="1"/>
  <c r="E29" i="23"/>
  <c r="E27" i="20" l="1"/>
  <c r="E28" i="20"/>
  <c r="E26" i="20"/>
  <c r="E29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<sst xmlns="http://schemas.openxmlformats.org/spreadsheetml/2006/main" count="621" uniqueCount="239">
  <si>
    <t>Material</t>
  </si>
  <si>
    <t xml:space="preserve">Duro </t>
  </si>
  <si>
    <t>Medio</t>
  </si>
  <si>
    <t>Blando</t>
  </si>
  <si>
    <t>10x16</t>
  </si>
  <si>
    <t>10x21</t>
  </si>
  <si>
    <t>10x30</t>
  </si>
  <si>
    <t>20x36</t>
  </si>
  <si>
    <t>25x40</t>
  </si>
  <si>
    <t>30x42</t>
  </si>
  <si>
    <t>42x48</t>
  </si>
  <si>
    <t>15x24</t>
  </si>
  <si>
    <t>12x36</t>
  </si>
  <si>
    <t>15x38</t>
  </si>
  <si>
    <t>@</t>
  </si>
  <si>
    <t>Duro 2</t>
  </si>
  <si>
    <t>Blando   4</t>
  </si>
  <si>
    <t>Medio    3</t>
  </si>
  <si>
    <t>Duro             5</t>
  </si>
  <si>
    <t>Medio  6</t>
  </si>
  <si>
    <t>Blando   7</t>
  </si>
  <si>
    <t>Duro   8</t>
  </si>
  <si>
    <t>Medio   9</t>
  </si>
  <si>
    <t>Blando    10</t>
  </si>
  <si>
    <t>Duro     11</t>
  </si>
  <si>
    <t>Medio     12</t>
  </si>
  <si>
    <t>Blando     13</t>
  </si>
  <si>
    <t>Duro      14</t>
  </si>
  <si>
    <t>Medio    15</t>
  </si>
  <si>
    <t>Blando    16</t>
  </si>
  <si>
    <t>Duro     17</t>
  </si>
  <si>
    <t>Medio     18</t>
  </si>
  <si>
    <t>Blando    19</t>
  </si>
  <si>
    <t>Duro     20</t>
  </si>
  <si>
    <t>Medio    21</t>
  </si>
  <si>
    <t>Blando     22</t>
  </si>
  <si>
    <t>Duro     23</t>
  </si>
  <si>
    <t>Medio     24</t>
  </si>
  <si>
    <t>Blando     25</t>
  </si>
  <si>
    <t>Duro      26</t>
  </si>
  <si>
    <t>Medio      27</t>
  </si>
  <si>
    <t>Blando      28</t>
  </si>
  <si>
    <t>Manto</t>
  </si>
  <si>
    <t>Lado Abierto</t>
  </si>
  <si>
    <t>Lado cerrado</t>
  </si>
  <si>
    <t>C</t>
  </si>
  <si>
    <t>Tamaño</t>
  </si>
  <si>
    <t>Codigo</t>
  </si>
  <si>
    <t>24S</t>
  </si>
  <si>
    <t>Course</t>
  </si>
  <si>
    <t>Medium</t>
  </si>
  <si>
    <t>Ex. Course</t>
  </si>
  <si>
    <t>245S</t>
  </si>
  <si>
    <t>36S</t>
  </si>
  <si>
    <t>367S</t>
  </si>
  <si>
    <t>48S</t>
  </si>
  <si>
    <t>489S</t>
  </si>
  <si>
    <t>66S</t>
  </si>
  <si>
    <t>6616S</t>
  </si>
  <si>
    <t xml:space="preserve"> 1/4</t>
  </si>
  <si>
    <t xml:space="preserve"> 3/8</t>
  </si>
  <si>
    <t xml:space="preserve"> 1/2</t>
  </si>
  <si>
    <t xml:space="preserve"> 5/8</t>
  </si>
  <si>
    <t xml:space="preserve"> 3/4</t>
  </si>
  <si>
    <t xml:space="preserve"> 7/8</t>
  </si>
  <si>
    <t xml:space="preserve">1    </t>
  </si>
  <si>
    <t>1 1/4</t>
  </si>
  <si>
    <t>1 1/2</t>
  </si>
  <si>
    <t xml:space="preserve">2    </t>
  </si>
  <si>
    <t>2 1/2</t>
  </si>
  <si>
    <t>Capacidad en Ton/hora para abertura de cierre C</t>
  </si>
  <si>
    <t>-</t>
  </si>
  <si>
    <t>LLENAR VALORES EN VERDE, SI NO HAY PONER 0 o 1 SEGUN CONVENGA</t>
  </si>
  <si>
    <t>Q</t>
  </si>
  <si>
    <t>ton metrica/h</t>
  </si>
  <si>
    <t>ton/h</t>
  </si>
  <si>
    <t>Ley Metal</t>
  </si>
  <si>
    <t>Lm</t>
  </si>
  <si>
    <t>"</t>
  </si>
  <si>
    <t>Li1</t>
  </si>
  <si>
    <t>Li2</t>
  </si>
  <si>
    <t>Li3</t>
  </si>
  <si>
    <t>Li4</t>
  </si>
  <si>
    <t>Ls1</t>
  </si>
  <si>
    <t>Ls2</t>
  </si>
  <si>
    <t>Ls3</t>
  </si>
  <si>
    <t>Ls4</t>
  </si>
  <si>
    <t>Tamaño Max extraido</t>
  </si>
  <si>
    <t>D ent max</t>
  </si>
  <si>
    <t>Diametro superior 1</t>
  </si>
  <si>
    <t>Diametro inferior 1</t>
  </si>
  <si>
    <t>Diametro superior 2</t>
  </si>
  <si>
    <t>Diametro inferior 2</t>
  </si>
  <si>
    <t>Diametro superior 3</t>
  </si>
  <si>
    <t>Diametro inferior 3</t>
  </si>
  <si>
    <t>Diametro superior 4</t>
  </si>
  <si>
    <t>Diametro inferior 4</t>
  </si>
  <si>
    <t>1) Calculo de grado de desintegración</t>
  </si>
  <si>
    <t>=</t>
  </si>
  <si>
    <t>Caudal  a triturar de Mineral</t>
  </si>
  <si>
    <t>Caudal  a triturar Mineral (USA)</t>
  </si>
  <si>
    <t>Caudal  a triturar de MENA (USA)</t>
  </si>
  <si>
    <t>Porcentaje pasante</t>
  </si>
  <si>
    <t xml:space="preserve">3    </t>
  </si>
  <si>
    <t>3 1/2</t>
  </si>
  <si>
    <t>GRAFICO 1</t>
  </si>
  <si>
    <t xml:space="preserve">4    </t>
  </si>
  <si>
    <t xml:space="preserve">5    </t>
  </si>
  <si>
    <t xml:space="preserve">6    </t>
  </si>
  <si>
    <t xml:space="preserve">7    </t>
  </si>
  <si>
    <t xml:space="preserve">8    </t>
  </si>
  <si>
    <t xml:space="preserve">9    </t>
  </si>
  <si>
    <t xml:space="preserve">10    </t>
  </si>
  <si>
    <t xml:space="preserve">11    </t>
  </si>
  <si>
    <t xml:space="preserve">12    </t>
  </si>
  <si>
    <t>Grafico 2</t>
  </si>
  <si>
    <t>Grafico 1</t>
  </si>
  <si>
    <t>grafico</t>
  </si>
  <si>
    <t>Valor max</t>
  </si>
  <si>
    <t>@ ["]</t>
  </si>
  <si>
    <t>2) Busco que curva granulometrica me asegura un 100% menor al D max</t>
  </si>
  <si>
    <t>3) Armo tabla para dimensionar en funcion del caudal</t>
  </si>
  <si>
    <t xml:space="preserve">Dureza </t>
  </si>
  <si>
    <t>Dureza</t>
  </si>
  <si>
    <t>Piedra de abesto</t>
  </si>
  <si>
    <t xml:space="preserve">Piedra de yeso </t>
  </si>
  <si>
    <t>Pizarra</t>
  </si>
  <si>
    <t>Talco</t>
  </si>
  <si>
    <t>Caliza blanda</t>
  </si>
  <si>
    <t>Blanda</t>
  </si>
  <si>
    <t>Piedra caliza</t>
  </si>
  <si>
    <t>Dolomita</t>
  </si>
  <si>
    <t>Arenisca</t>
  </si>
  <si>
    <t>Granito</t>
  </si>
  <si>
    <t>Cuarcita</t>
  </si>
  <si>
    <t>Mineral de hierro</t>
  </si>
  <si>
    <t>Grava</t>
  </si>
  <si>
    <t>Roca trapeana</t>
  </si>
  <si>
    <t>Dura</t>
  </si>
  <si>
    <t>Taconita</t>
  </si>
  <si>
    <t>Grava granitica</t>
  </si>
  <si>
    <t>Muy dura</t>
  </si>
  <si>
    <t xml:space="preserve"> (de Abaco pag 25)</t>
  </si>
  <si>
    <t>Material Duro graf 1</t>
  </si>
  <si>
    <t>Material Duro Graf 2</t>
  </si>
  <si>
    <t>Material Medio graf 1</t>
  </si>
  <si>
    <t>Material Medio Graf 2</t>
  </si>
  <si>
    <t>Material blando graf 1</t>
  </si>
  <si>
    <t>Material Blando Graf 2</t>
  </si>
  <si>
    <t>Grafico</t>
  </si>
  <si>
    <t>Q max [ton/h]</t>
  </si>
  <si>
    <t>Limite inferior</t>
  </si>
  <si>
    <t>Tamaño de grano ["]</t>
  </si>
  <si>
    <t>%</t>
  </si>
  <si>
    <t>Total</t>
  </si>
  <si>
    <t>4) Analisis granulomentrico</t>
  </si>
  <si>
    <t>Limite Superior</t>
  </si>
  <si>
    <t>1/2</t>
  </si>
  <si>
    <t>% pasante</t>
  </si>
  <si>
    <t>Dimensionador de trituradoras</t>
  </si>
  <si>
    <t>2') Busco que curva gran. que me asegure un 100% menor al D max</t>
  </si>
  <si>
    <t>MANDIBULAS</t>
  </si>
  <si>
    <t>GRAFICO 3</t>
  </si>
  <si>
    <t>GRAFICO 4</t>
  </si>
  <si>
    <t>GRAFICO 5</t>
  </si>
  <si>
    <t>GRAFICO 6</t>
  </si>
  <si>
    <t>Q hipotesis(90%)</t>
  </si>
  <si>
    <t>100%</t>
  </si>
  <si>
    <t>Columna1</t>
  </si>
  <si>
    <t>#36</t>
  </si>
  <si>
    <t>#48</t>
  </si>
  <si>
    <t>#24</t>
  </si>
  <si>
    <t>#66</t>
  </si>
  <si>
    <t>Trituradora</t>
  </si>
  <si>
    <t>3') Busco que curva gran. que me asegure un 100% menor al D max</t>
  </si>
  <si>
    <t>Caudal</t>
  </si>
  <si>
    <t>4') Analizo mantos y elijo trituradora de mandibulas</t>
  </si>
  <si>
    <t>2 Etapas (CONICAS y MANDIBULAS)</t>
  </si>
  <si>
    <t>Conica</t>
  </si>
  <si>
    <t>@ entrada</t>
  </si>
  <si>
    <t>Graf. Mand</t>
  </si>
  <si>
    <t>Nada</t>
  </si>
  <si>
    <t>Media</t>
  </si>
  <si>
    <t>Blando   5</t>
  </si>
  <si>
    <t>15x39</t>
  </si>
  <si>
    <t>max</t>
  </si>
  <si>
    <t>Blando    11</t>
  </si>
  <si>
    <t>42x49</t>
  </si>
  <si>
    <t>Medio     19</t>
  </si>
  <si>
    <t>Medio     25</t>
  </si>
  <si>
    <t>Blando   6</t>
  </si>
  <si>
    <t>min</t>
  </si>
  <si>
    <t>% no conica</t>
  </si>
  <si>
    <t>Caudal pasante</t>
  </si>
  <si>
    <t>interpol</t>
  </si>
  <si>
    <t>Columna2</t>
  </si>
  <si>
    <t>Columna3</t>
  </si>
  <si>
    <t>Columna4</t>
  </si>
  <si>
    <t>Columna5</t>
  </si>
  <si>
    <t>Columna6</t>
  </si>
  <si>
    <t>Columna7</t>
  </si>
  <si>
    <t>Mandibulas</t>
  </si>
  <si>
    <t>5') Resumen de trituradoras seleccionadas</t>
  </si>
  <si>
    <t>Cantidad</t>
  </si>
  <si>
    <t>Criterio de selección:</t>
  </si>
  <si>
    <t>2) manto mas grueso</t>
  </si>
  <si>
    <t>NECESITO</t>
  </si>
  <si>
    <t>1) Mas economico ( nro trit * tamaño)</t>
  </si>
  <si>
    <t>INPUTS</t>
  </si>
  <si>
    <t>Caudal  a triturar de MENA (USA) (ton us / h)</t>
  </si>
  <si>
    <t xml:space="preserve">Material </t>
  </si>
  <si>
    <t>Tamaño Max extraído (pulgadas)</t>
  </si>
  <si>
    <t>Diámetro de separación 1 ( pulgadas)</t>
  </si>
  <si>
    <t>Diámetro de separación 2 (pulgadas)</t>
  </si>
  <si>
    <t>Diámetro de separación 3 (pulgadas)</t>
  </si>
  <si>
    <t>Informe de trituración</t>
  </si>
  <si>
    <t>Industrias I 92.02</t>
  </si>
  <si>
    <t>Análisis granulométrico</t>
  </si>
  <si>
    <t>Analisis granulometrico para dos trituradoras</t>
  </si>
  <si>
    <t>Trituradora de mandibulas</t>
  </si>
  <si>
    <t>Trituradora Conica</t>
  </si>
  <si>
    <t>Curva granulometrica</t>
  </si>
  <si>
    <t>% pasante peso</t>
  </si>
  <si>
    <t>Tamaño 2</t>
  </si>
  <si>
    <t>Tamaño2</t>
  </si>
  <si>
    <t>Tamaño grano</t>
  </si>
  <si>
    <t>Conicas</t>
  </si>
  <si>
    <t>L sup</t>
  </si>
  <si>
    <t>Linf</t>
  </si>
  <si>
    <t>Lím inf</t>
  </si>
  <si>
    <t>Lím sup</t>
  </si>
  <si>
    <t>Diámetro de caudal triturado</t>
  </si>
  <si>
    <t>Dimensionamiento de trituradoras</t>
  </si>
  <si>
    <t>#TRIT</t>
  </si>
  <si>
    <t>Min #trit</t>
  </si>
  <si>
    <t>Cumple</t>
  </si>
  <si>
    <t>Tam de trit (si cumple)</t>
  </si>
  <si>
    <t>Min trit cumple</t>
  </si>
  <si>
    <t># de trituradoras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</si>
</sst>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27" x14ac:knownFonts="1">
    <font>
      <sz val="11"/>
      <color theme="1"/>
      <name val="Abadi"/>
      <family val="2"/>
    </font>
    <font>
      <sz val="11"/>
      <color theme="1"/>
      <name val="Calibri"/>
      <family val="2"/>
      <scheme val="minor"/>
    </font>
    <font>
      <b/>
      <sz val="11"/>
      <color theme="0"/>
      <name val="Abadi"/>
      <family val="2"/>
    </font>
    <font>
      <i/>
      <sz val="11"/>
      <color rgb="FF7F7F7F"/>
      <name val="Abadi"/>
      <family val="2"/>
    </font>
    <font>
      <sz val="11"/>
      <color theme="0"/>
      <name val="Abadi"/>
      <family val="2"/>
    </font>
    <font>
      <sz val="8"/>
      <name val="Abadi"/>
      <family val="2"/>
    </font>
    <font>
      <sz val="12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Abadi"/>
      <family val="2"/>
    </font>
    <font>
      <sz val="11"/>
      <color theme="0"/>
      <name val="Calibri"/>
      <family val="2"/>
      <scheme val="minor"/>
    </font>
    <font>
      <sz val="11"/>
      <color rgb="FF9C57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name val="Abadi"/>
      <family val="2"/>
    </font>
    <font>
      <b/>
      <u/>
      <sz val="16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Calibri"/>
      <family val="2"/>
    </font>
    <font>
      <u/>
      <sz val="16"/>
      <color theme="1"/>
      <name val="Abadi"/>
      <family val="2"/>
    </font>
    <font>
      <sz val="11"/>
      <color theme="0" tint="-0.34998626667073579"/>
      <name val="Abad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badi"/>
      <family val="2"/>
    </font>
    <font>
      <u/>
      <sz val="11"/>
      <color theme="1"/>
      <name val="Abadi"/>
      <family val="2"/>
    </font>
    <font>
      <sz val="11"/>
      <color rgb="FF000000"/>
      <name val="Abadi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EB9C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0CECE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6">
    <border>
      <left/>
      <right/>
      <top/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/>
      <right style="thin">
        <color indexed="64"/>
      </right>
      <top/>
      <bottom/>
      <diagonal style="thin">
        <color indexed="64"/>
      </diagonal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 diagonalDown="1">
      <left/>
      <right style="thin">
        <color indexed="64"/>
      </right>
      <top style="medium">
        <color theme="1"/>
      </top>
      <bottom style="medium">
        <color theme="1"/>
      </bottom>
      <diagonal style="thin">
        <color indexed="64"/>
      </diagonal>
    </border>
    <border diagonalDown="1">
      <left style="thin">
        <color theme="4" tint="0.39997558519241921"/>
      </left>
      <right style="thin">
        <color indexed="64"/>
      </right>
      <top style="medium">
        <color theme="1"/>
      </top>
      <bottom style="medium">
        <color theme="1"/>
      </bottom>
      <diagonal style="thin">
        <color indexed="64"/>
      </diagonal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3" fillId="0" borderId="0" applyNumberFormat="0" applyFill="0" applyBorder="0" applyAlignment="0" applyProtection="0"/>
    <xf numFmtId="9" fontId="10" fillId="0" borderId="0" applyFont="0" applyFill="0" applyBorder="0" applyAlignment="0" applyProtection="0"/>
    <xf numFmtId="0" fontId="12" fillId="14" borderId="0" applyNumberFormat="0" applyBorder="0" applyAlignment="0" applyProtection="0"/>
    <xf numFmtId="0" fontId="13" fillId="0" borderId="0" applyNumberFormat="0" applyFill="0" applyBorder="0" applyAlignment="0" applyProtection="0"/>
  </cellStyleXfs>
  <cellXfs count="314">
    <xf numFmtId="0" fontId="0" fillId="0" borderId="0" xfId="0"/>
    <xf numFmtId="12" fontId="0" fillId="0" borderId="0" xfId="0" applyNumberForma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/>
    <xf numFmtId="0" fontId="7" fillId="0" borderId="6" xfId="0" applyFont="1" applyBorder="1"/>
    <xf numFmtId="12" fontId="7" fillId="0" borderId="0" xfId="0" applyNumberFormat="1" applyFont="1"/>
    <xf numFmtId="0" fontId="7" fillId="0" borderId="0" xfId="0" applyFont="1"/>
    <xf numFmtId="0" fontId="0" fillId="0" borderId="7" xfId="0" applyBorder="1"/>
    <xf numFmtId="0" fontId="7" fillId="0" borderId="5" xfId="0" applyFont="1" applyBorder="1"/>
    <xf numFmtId="0" fontId="7" fillId="0" borderId="8" xfId="0" applyFont="1" applyFill="1" applyBorder="1"/>
    <xf numFmtId="0" fontId="7" fillId="0" borderId="0" xfId="0" applyFont="1" applyAlignment="1">
      <alignment horizontal="center"/>
    </xf>
    <xf numFmtId="12" fontId="7" fillId="0" borderId="0" xfId="0" applyNumberFormat="1" applyFont="1" applyAlignment="1">
      <alignment horizontal="center"/>
    </xf>
    <xf numFmtId="0" fontId="4" fillId="0" borderId="0" xfId="0" applyFont="1"/>
    <xf numFmtId="0" fontId="7" fillId="6" borderId="2" xfId="0" applyFont="1" applyFill="1" applyBorder="1" applyAlignment="1">
      <alignment vertical="center"/>
    </xf>
    <xf numFmtId="0" fontId="7" fillId="0" borderId="2" xfId="0" applyFont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0" borderId="2" xfId="0" quotePrefix="1" applyFont="1" applyBorder="1" applyAlignment="1">
      <alignment horizontal="center" vertical="center"/>
    </xf>
    <xf numFmtId="0" fontId="7" fillId="0" borderId="0" xfId="0" quotePrefix="1" applyFont="1" applyAlignment="1">
      <alignment horizontal="center"/>
    </xf>
    <xf numFmtId="164" fontId="7" fillId="7" borderId="2" xfId="0" applyNumberFormat="1" applyFont="1" applyFill="1" applyBorder="1" applyAlignment="1">
      <alignment horizontal="center" vertical="center"/>
    </xf>
    <xf numFmtId="2" fontId="7" fillId="0" borderId="2" xfId="0" applyNumberFormat="1" applyFont="1" applyBorder="1"/>
    <xf numFmtId="9" fontId="7" fillId="0" borderId="4" xfId="2" applyFont="1" applyBorder="1" applyAlignment="1">
      <alignment horizontal="center"/>
    </xf>
    <xf numFmtId="2" fontId="7" fillId="0" borderId="5" xfId="0" applyNumberFormat="1" applyFont="1" applyBorder="1"/>
    <xf numFmtId="0" fontId="7" fillId="0" borderId="14" xfId="0" applyFont="1" applyBorder="1"/>
    <xf numFmtId="12" fontId="7" fillId="0" borderId="15" xfId="0" applyNumberFormat="1" applyFont="1" applyBorder="1"/>
    <xf numFmtId="12" fontId="7" fillId="0" borderId="16" xfId="0" applyNumberFormat="1" applyFont="1" applyBorder="1"/>
    <xf numFmtId="9" fontId="7" fillId="0" borderId="17" xfId="2" applyFont="1" applyBorder="1" applyAlignment="1">
      <alignment horizontal="center"/>
    </xf>
    <xf numFmtId="2" fontId="7" fillId="0" borderId="18" xfId="0" applyNumberFormat="1" applyFont="1" applyBorder="1"/>
    <xf numFmtId="2" fontId="7" fillId="0" borderId="19" xfId="0" applyNumberFormat="1" applyFont="1" applyBorder="1"/>
    <xf numFmtId="12" fontId="8" fillId="3" borderId="4" xfId="0" applyNumberFormat="1" applyFont="1" applyFill="1" applyBorder="1" applyAlignment="1">
      <alignment horizontal="center"/>
    </xf>
    <xf numFmtId="12" fontId="8" fillId="3" borderId="4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8" fillId="3" borderId="2" xfId="0" applyFont="1" applyFill="1" applyBorder="1"/>
    <xf numFmtId="9" fontId="7" fillId="9" borderId="2" xfId="2" applyNumberFormat="1" applyFont="1" applyFill="1" applyBorder="1" applyAlignment="1">
      <alignment horizontal="center"/>
    </xf>
    <xf numFmtId="9" fontId="7" fillId="0" borderId="2" xfId="2" applyNumberFormat="1" applyFont="1" applyBorder="1" applyAlignment="1">
      <alignment horizontal="center"/>
    </xf>
    <xf numFmtId="0" fontId="8" fillId="3" borderId="4" xfId="0" applyFont="1" applyFill="1" applyBorder="1"/>
    <xf numFmtId="9" fontId="7" fillId="9" borderId="4" xfId="2" applyNumberFormat="1" applyFont="1" applyFill="1" applyBorder="1" applyAlignment="1">
      <alignment horizontal="center"/>
    </xf>
    <xf numFmtId="9" fontId="7" fillId="0" borderId="4" xfId="2" applyNumberFormat="1" applyFont="1" applyBorder="1" applyAlignment="1">
      <alignment horizontal="center"/>
    </xf>
    <xf numFmtId="9" fontId="7" fillId="9" borderId="17" xfId="2" applyNumberFormat="1" applyFont="1" applyFill="1" applyBorder="1" applyAlignment="1">
      <alignment horizontal="center"/>
    </xf>
    <xf numFmtId="0" fontId="7" fillId="0" borderId="18" xfId="0" applyFont="1" applyBorder="1"/>
    <xf numFmtId="2" fontId="7" fillId="9" borderId="2" xfId="0" applyNumberFormat="1" applyFont="1" applyFill="1" applyBorder="1"/>
    <xf numFmtId="0" fontId="7" fillId="9" borderId="2" xfId="0" applyFont="1" applyFill="1" applyBorder="1"/>
    <xf numFmtId="9" fontId="0" fillId="0" borderId="0" xfId="0" applyNumberFormat="1"/>
    <xf numFmtId="0" fontId="0" fillId="0" borderId="0" xfId="0" applyAlignment="1">
      <alignment horizontal="center" vertical="top"/>
    </xf>
    <xf numFmtId="0" fontId="2" fillId="3" borderId="1" xfId="0" applyNumberFormat="1" applyFont="1" applyFill="1" applyBorder="1"/>
    <xf numFmtId="0" fontId="7" fillId="6" borderId="2" xfId="0" applyFont="1" applyFill="1" applyBorder="1" applyAlignment="1">
      <alignment horizontal="center"/>
    </xf>
    <xf numFmtId="0" fontId="7" fillId="6" borderId="2" xfId="0" quotePrefix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12" fontId="7" fillId="0" borderId="2" xfId="0" applyNumberFormat="1" applyFont="1" applyBorder="1" applyAlignment="1">
      <alignment horizontal="center"/>
    </xf>
    <xf numFmtId="12" fontId="8" fillId="4" borderId="2" xfId="0" applyNumberFormat="1" applyFont="1" applyFill="1" applyBorder="1" applyAlignment="1">
      <alignment horizontal="center"/>
    </xf>
    <xf numFmtId="0" fontId="7" fillId="6" borderId="2" xfId="0" applyFont="1" applyFill="1" applyBorder="1"/>
    <xf numFmtId="0" fontId="8" fillId="3" borderId="5" xfId="0" applyFont="1" applyFill="1" applyBorder="1"/>
    <xf numFmtId="0" fontId="7" fillId="9" borderId="5" xfId="0" applyFont="1" applyFill="1" applyBorder="1"/>
    <xf numFmtId="0" fontId="7" fillId="9" borderId="18" xfId="0" applyFont="1" applyFill="1" applyBorder="1"/>
    <xf numFmtId="0" fontId="7" fillId="9" borderId="19" xfId="0" applyFont="1" applyFill="1" applyBorder="1"/>
    <xf numFmtId="0" fontId="2" fillId="3" borderId="22" xfId="0" applyFont="1" applyFill="1" applyBorder="1"/>
    <xf numFmtId="0" fontId="7" fillId="9" borderId="6" xfId="0" applyFont="1" applyFill="1" applyBorder="1"/>
    <xf numFmtId="0" fontId="7" fillId="9" borderId="23" xfId="0" applyFont="1" applyFill="1" applyBorder="1"/>
    <xf numFmtId="0" fontId="4" fillId="3" borderId="22" xfId="0" applyFont="1" applyFill="1" applyBorder="1"/>
    <xf numFmtId="12" fontId="11" fillId="4" borderId="2" xfId="0" applyNumberFormat="1" applyFont="1" applyFill="1" applyBorder="1" applyAlignment="1">
      <alignment horizontal="center"/>
    </xf>
    <xf numFmtId="12" fontId="11" fillId="4" borderId="18" xfId="0" applyNumberFormat="1" applyFont="1" applyFill="1" applyBorder="1" applyAlignment="1">
      <alignment horizontal="center"/>
    </xf>
    <xf numFmtId="0" fontId="11" fillId="3" borderId="4" xfId="0" applyFont="1" applyFill="1" applyBorder="1"/>
    <xf numFmtId="0" fontId="11" fillId="3" borderId="2" xfId="0" applyFont="1" applyFill="1" applyBorder="1"/>
    <xf numFmtId="0" fontId="11" fillId="3" borderId="5" xfId="0" applyFont="1" applyFill="1" applyBorder="1"/>
    <xf numFmtId="0" fontId="4" fillId="3" borderId="21" xfId="0" applyFont="1" applyFill="1" applyBorder="1"/>
    <xf numFmtId="12" fontId="11" fillId="4" borderId="15" xfId="0" applyNumberFormat="1" applyFont="1" applyFill="1" applyBorder="1" applyAlignment="1">
      <alignment horizontal="center"/>
    </xf>
    <xf numFmtId="0" fontId="4" fillId="3" borderId="24" xfId="0" applyFont="1" applyFill="1" applyBorder="1"/>
    <xf numFmtId="0" fontId="7" fillId="9" borderId="3" xfId="0" applyFont="1" applyFill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7" fillId="0" borderId="8" xfId="0" applyFont="1" applyBorder="1"/>
    <xf numFmtId="0" fontId="9" fillId="2" borderId="13" xfId="1" applyFont="1" applyFill="1" applyBorder="1" applyAlignment="1"/>
    <xf numFmtId="0" fontId="9" fillId="2" borderId="0" xfId="1" applyFont="1" applyFill="1" applyBorder="1" applyAlignment="1"/>
    <xf numFmtId="0" fontId="7" fillId="11" borderId="2" xfId="0" applyFont="1" applyFill="1" applyBorder="1" applyAlignment="1">
      <alignment horizontal="center"/>
    </xf>
    <xf numFmtId="9" fontId="7" fillId="0" borderId="2" xfId="0" applyNumberFormat="1" applyFont="1" applyBorder="1" applyAlignment="1">
      <alignment horizontal="center"/>
    </xf>
    <xf numFmtId="12" fontId="7" fillId="7" borderId="2" xfId="0" applyNumberFormat="1" applyFont="1" applyFill="1" applyBorder="1" applyAlignment="1">
      <alignment horizontal="center" vertical="center"/>
    </xf>
    <xf numFmtId="0" fontId="0" fillId="0" borderId="0" xfId="0"/>
    <xf numFmtId="0" fontId="8" fillId="3" borderId="14" xfId="0" applyFont="1" applyFill="1" applyBorder="1" applyAlignment="1">
      <alignment horizontal="center"/>
    </xf>
    <xf numFmtId="12" fontId="8" fillId="3" borderId="14" xfId="0" applyNumberFormat="1" applyFont="1" applyFill="1" applyBorder="1" applyAlignment="1">
      <alignment horizontal="center"/>
    </xf>
    <xf numFmtId="0" fontId="0" fillId="0" borderId="0" xfId="0"/>
    <xf numFmtId="0" fontId="7" fillId="0" borderId="0" xfId="0" applyFont="1" applyAlignment="1">
      <alignment horizontal="center"/>
    </xf>
    <xf numFmtId="0" fontId="8" fillId="3" borderId="2" xfId="0" applyFont="1" applyFill="1" applyBorder="1" applyAlignment="1">
      <alignment horizontal="center"/>
    </xf>
    <xf numFmtId="12" fontId="0" fillId="11" borderId="5" xfId="0" applyNumberFormat="1" applyFill="1" applyBorder="1"/>
    <xf numFmtId="12" fontId="0" fillId="11" borderId="2" xfId="0" applyNumberFormat="1" applyFill="1" applyBorder="1"/>
    <xf numFmtId="9" fontId="7" fillId="9" borderId="2" xfId="2" applyFont="1" applyFill="1" applyBorder="1" applyAlignment="1">
      <alignment horizontal="center"/>
    </xf>
    <xf numFmtId="2" fontId="0" fillId="0" borderId="2" xfId="0" applyNumberFormat="1" applyBorder="1"/>
    <xf numFmtId="0" fontId="0" fillId="0" borderId="2" xfId="0" applyBorder="1"/>
    <xf numFmtId="9" fontId="7" fillId="0" borderId="2" xfId="2" applyFont="1" applyBorder="1" applyAlignment="1">
      <alignment horizontal="center"/>
    </xf>
    <xf numFmtId="0" fontId="0" fillId="0" borderId="0" xfId="0" quotePrefix="1" applyAlignment="1">
      <alignment horizontal="center"/>
    </xf>
    <xf numFmtId="12" fontId="0" fillId="0" borderId="2" xfId="0" applyNumberFormat="1" applyBorder="1" applyAlignment="1">
      <alignment horizontal="center"/>
    </xf>
    <xf numFmtId="49" fontId="7" fillId="0" borderId="0" xfId="0" applyNumberFormat="1" applyFont="1"/>
    <xf numFmtId="0" fontId="11" fillId="0" borderId="0" xfId="0" applyFont="1"/>
    <xf numFmtId="0" fontId="7" fillId="9" borderId="0" xfId="0" applyFont="1" applyFill="1"/>
    <xf numFmtId="0" fontId="7" fillId="9" borderId="0" xfId="0" applyFont="1" applyFill="1" applyAlignment="1">
      <alignment horizontal="center"/>
    </xf>
    <xf numFmtId="12" fontId="7" fillId="9" borderId="0" xfId="0" applyNumberFormat="1" applyFont="1" applyFill="1" applyAlignment="1">
      <alignment horizontal="center"/>
    </xf>
    <xf numFmtId="12" fontId="7" fillId="9" borderId="0" xfId="0" applyNumberFormat="1" applyFont="1" applyFill="1"/>
    <xf numFmtId="0" fontId="7" fillId="0" borderId="27" xfId="0" applyFont="1" applyBorder="1" applyAlignment="1">
      <alignment horizontal="center"/>
    </xf>
    <xf numFmtId="0" fontId="8" fillId="3" borderId="27" xfId="0" applyFont="1" applyFill="1" applyBorder="1"/>
    <xf numFmtId="0" fontId="8" fillId="3" borderId="27" xfId="0" applyFont="1" applyFill="1" applyBorder="1" applyAlignment="1">
      <alignment horizontal="center"/>
    </xf>
    <xf numFmtId="12" fontId="8" fillId="3" borderId="27" xfId="0" applyNumberFormat="1" applyFont="1" applyFill="1" applyBorder="1"/>
    <xf numFmtId="49" fontId="8" fillId="3" borderId="27" xfId="0" applyNumberFormat="1" applyFont="1" applyFill="1" applyBorder="1"/>
    <xf numFmtId="0" fontId="7" fillId="6" borderId="2" xfId="0" applyFont="1" applyFill="1" applyBorder="1" applyAlignment="1">
      <alignment horizontal="center"/>
    </xf>
    <xf numFmtId="0" fontId="0" fillId="0" borderId="0" xfId="0"/>
    <xf numFmtId="12" fontId="8" fillId="3" borderId="4" xfId="0" applyNumberFormat="1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11" fillId="3" borderId="0" xfId="0" applyFont="1" applyFill="1" applyBorder="1" applyAlignment="1">
      <alignment horizontal="center"/>
    </xf>
    <xf numFmtId="0" fontId="7" fillId="9" borderId="0" xfId="0" applyFont="1" applyFill="1" applyBorder="1"/>
    <xf numFmtId="0" fontId="7" fillId="0" borderId="0" xfId="0" applyFont="1" applyBorder="1"/>
    <xf numFmtId="0" fontId="7" fillId="9" borderId="15" xfId="0" applyFont="1" applyFill="1" applyBorder="1"/>
    <xf numFmtId="0" fontId="8" fillId="3" borderId="28" xfId="0" applyFont="1" applyFill="1" applyBorder="1"/>
    <xf numFmtId="0" fontId="11" fillId="3" borderId="28" xfId="0" applyFont="1" applyFill="1" applyBorder="1"/>
    <xf numFmtId="0" fontId="7" fillId="9" borderId="0" xfId="0" applyFont="1" applyFill="1" applyBorder="1" applyAlignment="1">
      <alignment horizontal="center"/>
    </xf>
    <xf numFmtId="0" fontId="7" fillId="9" borderId="2" xfId="0" applyFont="1" applyFill="1" applyBorder="1" applyAlignment="1">
      <alignment horizontal="center"/>
    </xf>
    <xf numFmtId="0" fontId="7" fillId="9" borderId="15" xfId="0" applyFont="1" applyFill="1" applyBorder="1" applyAlignment="1">
      <alignment horizontal="center"/>
    </xf>
    <xf numFmtId="0" fontId="7" fillId="0" borderId="18" xfId="0" applyFont="1" applyBorder="1" applyAlignment="1">
      <alignment horizontal="center"/>
    </xf>
    <xf numFmtId="12" fontId="7" fillId="0" borderId="2" xfId="0" applyNumberFormat="1" applyFont="1" applyBorder="1" applyAlignment="1">
      <alignment horizontal="center" vertical="center"/>
    </xf>
    <xf numFmtId="12" fontId="7" fillId="0" borderId="2" xfId="0" applyNumberFormat="1" applyFont="1" applyBorder="1"/>
    <xf numFmtId="0" fontId="7" fillId="13" borderId="2" xfId="0" applyFont="1" applyFill="1" applyBorder="1"/>
    <xf numFmtId="12" fontId="7" fillId="13" borderId="2" xfId="0" applyNumberFormat="1" applyFont="1" applyFill="1" applyBorder="1"/>
    <xf numFmtId="0" fontId="7" fillId="13" borderId="2" xfId="0" applyFont="1" applyFill="1" applyBorder="1" applyAlignment="1">
      <alignment horizontal="center"/>
    </xf>
    <xf numFmtId="9" fontId="0" fillId="0" borderId="2" xfId="0" applyNumberFormat="1" applyBorder="1"/>
    <xf numFmtId="9" fontId="0" fillId="0" borderId="2" xfId="2" applyFont="1" applyBorder="1"/>
    <xf numFmtId="0" fontId="0" fillId="0" borderId="0" xfId="0"/>
    <xf numFmtId="165" fontId="7" fillId="9" borderId="2" xfId="0" applyNumberFormat="1" applyFont="1" applyFill="1" applyBorder="1"/>
    <xf numFmtId="0" fontId="13" fillId="0" borderId="0" xfId="4"/>
    <xf numFmtId="0" fontId="13" fillId="0" borderId="0" xfId="4" applyAlignment="1">
      <alignment horizontal="left"/>
    </xf>
    <xf numFmtId="164" fontId="7" fillId="0" borderId="0" xfId="0" applyNumberFormat="1" applyFont="1"/>
    <xf numFmtId="2" fontId="7" fillId="0" borderId="2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 vertical="center"/>
    </xf>
    <xf numFmtId="0" fontId="14" fillId="0" borderId="0" xfId="0" applyFont="1"/>
    <xf numFmtId="2" fontId="0" fillId="0" borderId="2" xfId="0" quotePrefix="1" applyNumberFormat="1" applyBorder="1" applyAlignment="1">
      <alignment horizontal="center"/>
    </xf>
    <xf numFmtId="12" fontId="7" fillId="11" borderId="29" xfId="0" applyNumberFormat="1" applyFont="1" applyFill="1" applyBorder="1"/>
    <xf numFmtId="0" fontId="8" fillId="3" borderId="14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0" borderId="2" xfId="0" applyFont="1" applyBorder="1" applyAlignment="1">
      <alignment vertical="center"/>
    </xf>
    <xf numFmtId="0" fontId="0" fillId="0" borderId="2" xfId="0" quotePrefix="1" applyBorder="1" applyAlignment="1">
      <alignment horizontal="center"/>
    </xf>
    <xf numFmtId="2" fontId="0" fillId="0" borderId="0" xfId="0" applyNumberFormat="1" applyAlignment="1">
      <alignment horizontal="left"/>
    </xf>
    <xf numFmtId="2" fontId="0" fillId="0" borderId="0" xfId="0" applyNumberFormat="1"/>
    <xf numFmtId="12" fontId="0" fillId="11" borderId="2" xfId="0" applyNumberFormat="1" applyFont="1" applyFill="1" applyBorder="1"/>
    <xf numFmtId="0" fontId="0" fillId="5" borderId="0" xfId="0" applyFill="1" applyAlignment="1">
      <alignment horizontal="center" vertical="center"/>
    </xf>
    <xf numFmtId="0" fontId="7" fillId="0" borderId="0" xfId="0" applyFont="1"/>
    <xf numFmtId="0" fontId="3" fillId="0" borderId="0" xfId="1" applyAlignment="1">
      <alignment horizontal="center"/>
    </xf>
    <xf numFmtId="0" fontId="3" fillId="0" borderId="0" xfId="1"/>
    <xf numFmtId="0" fontId="3" fillId="15" borderId="0" xfId="1" applyFill="1"/>
    <xf numFmtId="0" fontId="7" fillId="0" borderId="0" xfId="0" applyFont="1"/>
    <xf numFmtId="2" fontId="8" fillId="3" borderId="2" xfId="0" applyNumberFormat="1" applyFont="1" applyFill="1" applyBorder="1"/>
    <xf numFmtId="0" fontId="15" fillId="0" borderId="0" xfId="0" applyFont="1"/>
    <xf numFmtId="0" fontId="7" fillId="0" borderId="0" xfId="0" applyFont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0" fillId="11" borderId="30" xfId="0" applyFill="1" applyBorder="1"/>
    <xf numFmtId="0" fontId="16" fillId="11" borderId="31" xfId="0" applyFont="1" applyFill="1" applyBorder="1"/>
    <xf numFmtId="0" fontId="0" fillId="11" borderId="31" xfId="0" applyFill="1" applyBorder="1"/>
    <xf numFmtId="0" fontId="17" fillId="11" borderId="31" xfId="0" applyFont="1" applyFill="1" applyBorder="1" applyAlignment="1">
      <alignment horizontal="center" vertical="center"/>
    </xf>
    <xf numFmtId="0" fontId="0" fillId="11" borderId="32" xfId="0" applyFill="1" applyBorder="1"/>
    <xf numFmtId="0" fontId="0" fillId="11" borderId="40" xfId="0" applyFill="1" applyBorder="1"/>
    <xf numFmtId="0" fontId="0" fillId="11" borderId="0" xfId="0" applyFill="1"/>
    <xf numFmtId="0" fontId="17" fillId="11" borderId="0" xfId="0" applyFont="1" applyFill="1" applyAlignment="1">
      <alignment horizontal="center" vertical="center"/>
    </xf>
    <xf numFmtId="0" fontId="0" fillId="11" borderId="41" xfId="0" applyFill="1" applyBorder="1"/>
    <xf numFmtId="0" fontId="18" fillId="11" borderId="0" xfId="0" applyFont="1" applyFill="1"/>
    <xf numFmtId="0" fontId="17" fillId="17" borderId="2" xfId="0" applyFont="1" applyFill="1" applyBorder="1" applyAlignment="1">
      <alignment horizontal="center" vertical="center"/>
    </xf>
    <xf numFmtId="0" fontId="19" fillId="11" borderId="0" xfId="0" applyFont="1" applyFill="1"/>
    <xf numFmtId="0" fontId="0" fillId="11" borderId="33" xfId="0" applyFill="1" applyBorder="1"/>
    <xf numFmtId="0" fontId="0" fillId="11" borderId="34" xfId="0" applyFill="1" applyBorder="1"/>
    <xf numFmtId="0" fontId="17" fillId="11" borderId="34" xfId="0" applyFont="1" applyFill="1" applyBorder="1" applyAlignment="1">
      <alignment horizontal="center" vertical="center"/>
    </xf>
    <xf numFmtId="0" fontId="0" fillId="11" borderId="35" xfId="0" applyFill="1" applyBorder="1"/>
    <xf numFmtId="0" fontId="20" fillId="18" borderId="0" xfId="0" applyFont="1" applyFill="1"/>
    <xf numFmtId="0" fontId="0" fillId="0" borderId="30" xfId="0" applyBorder="1"/>
    <xf numFmtId="0" fontId="0" fillId="0" borderId="31" xfId="0" applyBorder="1"/>
    <xf numFmtId="0" fontId="0" fillId="0" borderId="40" xfId="0" applyBorder="1"/>
    <xf numFmtId="0" fontId="0" fillId="0" borderId="0" xfId="0" applyBorder="1"/>
    <xf numFmtId="0" fontId="0" fillId="0" borderId="41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Border="1" applyAlignment="1">
      <alignment horizontal="left"/>
    </xf>
    <xf numFmtId="0" fontId="7" fillId="5" borderId="0" xfId="0" applyFont="1" applyFill="1"/>
    <xf numFmtId="12" fontId="11" fillId="0" borderId="0" xfId="0" applyNumberFormat="1" applyFont="1"/>
    <xf numFmtId="0" fontId="7" fillId="6" borderId="5" xfId="0" applyFont="1" applyFill="1" applyBorder="1"/>
    <xf numFmtId="0" fontId="7" fillId="7" borderId="2" xfId="0" applyFont="1" applyFill="1" applyBorder="1" applyAlignment="1">
      <alignment horizontal="center"/>
    </xf>
    <xf numFmtId="12" fontId="7" fillId="7" borderId="2" xfId="0" applyNumberFormat="1" applyFont="1" applyFill="1" applyBorder="1" applyAlignment="1">
      <alignment horizontal="center"/>
    </xf>
    <xf numFmtId="12" fontId="7" fillId="7" borderId="2" xfId="0" applyNumberFormat="1" applyFont="1" applyFill="1" applyBorder="1"/>
    <xf numFmtId="0" fontId="7" fillId="0" borderId="33" xfId="0" applyFont="1" applyBorder="1"/>
    <xf numFmtId="0" fontId="7" fillId="0" borderId="34" xfId="0" applyFont="1" applyBorder="1"/>
    <xf numFmtId="0" fontId="7" fillId="0" borderId="35" xfId="0" applyFont="1" applyBorder="1"/>
    <xf numFmtId="0" fontId="7" fillId="0" borderId="30" xfId="0" applyFont="1" applyBorder="1"/>
    <xf numFmtId="0" fontId="7" fillId="0" borderId="31" xfId="0" applyFont="1" applyBorder="1"/>
    <xf numFmtId="0" fontId="7" fillId="0" borderId="32" xfId="0" applyFont="1" applyBorder="1"/>
    <xf numFmtId="0" fontId="7" fillId="0" borderId="0" xfId="0" applyFont="1" applyFill="1" applyBorder="1"/>
    <xf numFmtId="164" fontId="7" fillId="0" borderId="0" xfId="0" applyNumberFormat="1" applyFont="1" applyFill="1" applyBorder="1"/>
    <xf numFmtId="12" fontId="7" fillId="0" borderId="0" xfId="0" applyNumberFormat="1" applyFont="1" applyFill="1" applyBorder="1"/>
    <xf numFmtId="0" fontId="7" fillId="0" borderId="0" xfId="0" applyFont="1" applyFill="1" applyBorder="1" applyAlignment="1"/>
    <xf numFmtId="2" fontId="7" fillId="0" borderId="0" xfId="0" applyNumberFormat="1" applyFont="1" applyFill="1" applyBorder="1"/>
    <xf numFmtId="0" fontId="3" fillId="0" borderId="0" xfId="1" applyFill="1" applyBorder="1"/>
    <xf numFmtId="0" fontId="23" fillId="11" borderId="47" xfId="0" applyFont="1" applyFill="1" applyBorder="1" applyAlignment="1">
      <alignment horizontal="center"/>
    </xf>
    <xf numFmtId="0" fontId="23" fillId="20" borderId="50" xfId="0" applyFont="1" applyFill="1" applyBorder="1" applyAlignment="1">
      <alignment horizontal="center"/>
    </xf>
    <xf numFmtId="2" fontId="7" fillId="20" borderId="16" xfId="0" quotePrefix="1" applyNumberFormat="1" applyFont="1" applyFill="1" applyBorder="1" applyAlignment="1">
      <alignment horizontal="center"/>
    </xf>
    <xf numFmtId="2" fontId="7" fillId="20" borderId="5" xfId="0" applyNumberFormat="1" applyFont="1" applyFill="1" applyBorder="1"/>
    <xf numFmtId="2" fontId="7" fillId="20" borderId="19" xfId="0" applyNumberFormat="1" applyFont="1" applyFill="1" applyBorder="1"/>
    <xf numFmtId="164" fontId="7" fillId="20" borderId="51" xfId="0" applyNumberFormat="1" applyFont="1" applyFill="1" applyBorder="1"/>
    <xf numFmtId="0" fontId="7" fillId="0" borderId="39" xfId="0" applyFont="1" applyBorder="1"/>
    <xf numFmtId="0" fontId="23" fillId="16" borderId="52" xfId="0" applyFont="1" applyFill="1" applyBorder="1" applyAlignment="1">
      <alignment horizontal="center"/>
    </xf>
    <xf numFmtId="2" fontId="7" fillId="16" borderId="53" xfId="0" quotePrefix="1" applyNumberFormat="1" applyFont="1" applyFill="1" applyBorder="1" applyAlignment="1">
      <alignment horizontal="center"/>
    </xf>
    <xf numFmtId="2" fontId="7" fillId="16" borderId="54" xfId="0" applyNumberFormat="1" applyFont="1" applyFill="1" applyBorder="1"/>
    <xf numFmtId="2" fontId="7" fillId="16" borderId="55" xfId="0" applyNumberFormat="1" applyFont="1" applyFill="1" applyBorder="1"/>
    <xf numFmtId="2" fontId="7" fillId="16" borderId="38" xfId="0" applyNumberFormat="1" applyFont="1" applyFill="1" applyBorder="1"/>
    <xf numFmtId="12" fontId="7" fillId="11" borderId="56" xfId="0" applyNumberFormat="1" applyFont="1" applyFill="1" applyBorder="1"/>
    <xf numFmtId="12" fontId="7" fillId="11" borderId="57" xfId="0" applyNumberFormat="1" applyFont="1" applyFill="1" applyBorder="1"/>
    <xf numFmtId="164" fontId="7" fillId="20" borderId="0" xfId="0" applyNumberFormat="1" applyFont="1" applyFill="1" applyBorder="1"/>
    <xf numFmtId="12" fontId="7" fillId="11" borderId="58" xfId="0" applyNumberFormat="1" applyFont="1" applyFill="1" applyBorder="1"/>
    <xf numFmtId="0" fontId="23" fillId="11" borderId="50" xfId="0" applyFont="1" applyFill="1" applyBorder="1" applyAlignment="1">
      <alignment horizontal="center"/>
    </xf>
    <xf numFmtId="12" fontId="7" fillId="11" borderId="16" xfId="0" applyNumberFormat="1" applyFont="1" applyFill="1" applyBorder="1"/>
    <xf numFmtId="12" fontId="7" fillId="11" borderId="5" xfId="0" applyNumberFormat="1" applyFont="1" applyFill="1" applyBorder="1"/>
    <xf numFmtId="12" fontId="7" fillId="11" borderId="19" xfId="0" applyNumberFormat="1" applyFont="1" applyFill="1" applyBorder="1"/>
    <xf numFmtId="0" fontId="23" fillId="20" borderId="60" xfId="0" applyFont="1" applyFill="1" applyBorder="1" applyAlignment="1">
      <alignment horizontal="center"/>
    </xf>
    <xf numFmtId="2" fontId="7" fillId="20" borderId="14" xfId="0" quotePrefix="1" applyNumberFormat="1" applyFont="1" applyFill="1" applyBorder="1" applyAlignment="1">
      <alignment horizontal="center"/>
    </xf>
    <xf numFmtId="164" fontId="7" fillId="20" borderId="4" xfId="0" applyNumberFormat="1" applyFont="1" applyFill="1" applyBorder="1"/>
    <xf numFmtId="2" fontId="7" fillId="20" borderId="17" xfId="0" applyNumberFormat="1" applyFont="1" applyFill="1" applyBorder="1"/>
    <xf numFmtId="164" fontId="7" fillId="20" borderId="61" xfId="0" applyNumberFormat="1" applyFont="1" applyFill="1" applyBorder="1"/>
    <xf numFmtId="0" fontId="23" fillId="19" borderId="47" xfId="0" applyFont="1" applyFill="1" applyBorder="1" applyAlignment="1">
      <alignment horizontal="center"/>
    </xf>
    <xf numFmtId="0" fontId="23" fillId="19" borderId="48" xfId="0" applyFont="1" applyFill="1" applyBorder="1" applyAlignment="1">
      <alignment horizontal="center"/>
    </xf>
    <xf numFmtId="164" fontId="7" fillId="19" borderId="56" xfId="0" applyNumberFormat="1" applyFont="1" applyFill="1" applyBorder="1"/>
    <xf numFmtId="164" fontId="7" fillId="19" borderId="63" xfId="0" applyNumberFormat="1" applyFont="1" applyFill="1" applyBorder="1"/>
    <xf numFmtId="164" fontId="7" fillId="19" borderId="57" xfId="0" applyNumberFormat="1" applyFont="1" applyFill="1" applyBorder="1"/>
    <xf numFmtId="164" fontId="7" fillId="19" borderId="64" xfId="0" applyNumberFormat="1" applyFont="1" applyFill="1" applyBorder="1"/>
    <xf numFmtId="164" fontId="7" fillId="19" borderId="58" xfId="0" applyNumberFormat="1" applyFont="1" applyFill="1" applyBorder="1"/>
    <xf numFmtId="164" fontId="7" fillId="19" borderId="65" xfId="0" applyNumberFormat="1" applyFont="1" applyFill="1" applyBorder="1"/>
    <xf numFmtId="2" fontId="7" fillId="19" borderId="44" xfId="0" applyNumberFormat="1" applyFont="1" applyFill="1" applyBorder="1"/>
    <xf numFmtId="2" fontId="7" fillId="19" borderId="45" xfId="0" applyNumberFormat="1" applyFont="1" applyFill="1" applyBorder="1"/>
    <xf numFmtId="9" fontId="7" fillId="0" borderId="0" xfId="2" applyFont="1"/>
    <xf numFmtId="12" fontId="24" fillId="0" borderId="36" xfId="0" applyNumberFormat="1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51" xfId="0" applyFont="1" applyBorder="1" applyAlignment="1">
      <alignment horizontal="center"/>
    </xf>
    <xf numFmtId="12" fontId="24" fillId="0" borderId="51" xfId="0" applyNumberFormat="1" applyFont="1" applyBorder="1" applyAlignment="1">
      <alignment horizontal="center"/>
    </xf>
    <xf numFmtId="9" fontId="24" fillId="0" borderId="51" xfId="2" applyFont="1" applyBorder="1" applyAlignment="1">
      <alignment horizontal="center"/>
    </xf>
    <xf numFmtId="0" fontId="24" fillId="0" borderId="45" xfId="0" applyFont="1" applyFill="1" applyBorder="1" applyAlignment="1">
      <alignment horizontal="center"/>
    </xf>
    <xf numFmtId="2" fontId="24" fillId="0" borderId="45" xfId="0" applyNumberFormat="1" applyFont="1" applyBorder="1" applyAlignment="1">
      <alignment horizontal="center"/>
    </xf>
    <xf numFmtId="9" fontId="0" fillId="0" borderId="2" xfId="2" applyFont="1" applyBorder="1" applyAlignment="1">
      <alignment horizontal="center"/>
    </xf>
    <xf numFmtId="12" fontId="0" fillId="0" borderId="57" xfId="0" applyNumberFormat="1" applyBorder="1" applyAlignment="1">
      <alignment horizontal="center"/>
    </xf>
    <xf numFmtId="2" fontId="0" fillId="0" borderId="64" xfId="0" applyNumberFormat="1" applyBorder="1" applyAlignment="1">
      <alignment horizontal="center"/>
    </xf>
    <xf numFmtId="12" fontId="0" fillId="0" borderId="56" xfId="0" applyNumberFormat="1" applyBorder="1" applyAlignment="1">
      <alignment horizontal="center"/>
    </xf>
    <xf numFmtId="12" fontId="0" fillId="0" borderId="15" xfId="0" applyNumberFormat="1" applyBorder="1" applyAlignment="1">
      <alignment horizontal="center"/>
    </xf>
    <xf numFmtId="9" fontId="0" fillId="0" borderId="15" xfId="2" applyFont="1" applyBorder="1" applyAlignment="1">
      <alignment horizontal="center"/>
    </xf>
    <xf numFmtId="2" fontId="0" fillId="0" borderId="63" xfId="0" applyNumberFormat="1" applyBorder="1" applyAlignment="1">
      <alignment horizontal="center"/>
    </xf>
    <xf numFmtId="12" fontId="0" fillId="0" borderId="58" xfId="0" applyNumberFormat="1" applyBorder="1" applyAlignment="1">
      <alignment horizontal="center"/>
    </xf>
    <xf numFmtId="12" fontId="0" fillId="0" borderId="18" xfId="0" applyNumberFormat="1" applyBorder="1" applyAlignment="1">
      <alignment horizontal="center"/>
    </xf>
    <xf numFmtId="9" fontId="0" fillId="0" borderId="18" xfId="2" applyFont="1" applyBorder="1" applyAlignment="1">
      <alignment horizontal="center"/>
    </xf>
    <xf numFmtId="2" fontId="0" fillId="0" borderId="65" xfId="0" applyNumberFormat="1" applyBorder="1" applyAlignment="1">
      <alignment horizontal="center"/>
    </xf>
    <xf numFmtId="12" fontId="7" fillId="0" borderId="4" xfId="0" applyNumberFormat="1" applyFont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4" fillId="0" borderId="2" xfId="0" applyFont="1" applyBorder="1"/>
    <xf numFmtId="0" fontId="1" fillId="13" borderId="2" xfId="0" applyFont="1" applyFill="1" applyBorder="1"/>
    <xf numFmtId="2" fontId="0" fillId="0" borderId="15" xfId="2" applyNumberFormat="1" applyFont="1" applyBorder="1" applyAlignment="1">
      <alignment horizontal="center"/>
    </xf>
    <xf numFmtId="0" fontId="0" fillId="13" borderId="2" xfId="0" applyFill="1" applyBorder="1"/>
    <xf numFmtId="0" fontId="22" fillId="0" borderId="31" xfId="0" applyFont="1" applyBorder="1" applyAlignment="1">
      <alignment horizontal="center" vertical="center"/>
    </xf>
    <xf numFmtId="0" fontId="22" fillId="0" borderId="32" xfId="0" applyFont="1" applyBorder="1" applyAlignment="1">
      <alignment horizontal="center" vertical="center"/>
    </xf>
    <xf numFmtId="0" fontId="21" fillId="0" borderId="4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7" fillId="6" borderId="18" xfId="0" applyFont="1" applyFill="1" applyBorder="1" applyAlignment="1">
      <alignment horizontal="center"/>
    </xf>
    <xf numFmtId="0" fontId="7" fillId="10" borderId="4" xfId="0" applyFont="1" applyFill="1" applyBorder="1" applyAlignment="1">
      <alignment horizontal="center"/>
    </xf>
    <xf numFmtId="0" fontId="7" fillId="10" borderId="2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9" fillId="2" borderId="13" xfId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0" fontId="0" fillId="5" borderId="0" xfId="0" applyFill="1" applyAlignment="1">
      <alignment horizontal="center" vertical="center"/>
    </xf>
    <xf numFmtId="0" fontId="7" fillId="8" borderId="11" xfId="0" applyFont="1" applyFill="1" applyBorder="1" applyAlignment="1">
      <alignment horizontal="center"/>
    </xf>
    <xf numFmtId="0" fontId="7" fillId="7" borderId="5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2" borderId="13" xfId="1" applyFont="1" applyFill="1" applyBorder="1" applyAlignment="1">
      <alignment horizontal="left"/>
    </xf>
    <xf numFmtId="0" fontId="9" fillId="2" borderId="0" xfId="1" applyFont="1" applyFill="1" applyBorder="1" applyAlignment="1">
      <alignment horizontal="left"/>
    </xf>
    <xf numFmtId="0" fontId="0" fillId="6" borderId="2" xfId="0" applyFill="1" applyBorder="1"/>
    <xf numFmtId="0" fontId="3" fillId="2" borderId="20" xfId="1" applyFill="1" applyBorder="1" applyAlignment="1">
      <alignment horizontal="center"/>
    </xf>
    <xf numFmtId="0" fontId="3" fillId="2" borderId="26" xfId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3" fillId="15" borderId="11" xfId="1" applyFill="1" applyBorder="1" applyAlignment="1">
      <alignment horizontal="center"/>
    </xf>
    <xf numFmtId="0" fontId="0" fillId="12" borderId="0" xfId="0" applyFill="1" applyAlignment="1">
      <alignment horizontal="center"/>
    </xf>
    <xf numFmtId="0" fontId="12" fillId="14" borderId="0" xfId="3"/>
    <xf numFmtId="0" fontId="3" fillId="2" borderId="42" xfId="1" applyFill="1" applyBorder="1" applyAlignment="1">
      <alignment horizontal="center"/>
    </xf>
    <xf numFmtId="0" fontId="3" fillId="2" borderId="12" xfId="1" applyFill="1" applyBorder="1" applyAlignment="1">
      <alignment horizontal="center"/>
    </xf>
    <xf numFmtId="0" fontId="3" fillId="2" borderId="43" xfId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2" fontId="8" fillId="3" borderId="5" xfId="0" applyNumberFormat="1" applyFont="1" applyFill="1" applyBorder="1" applyAlignment="1">
      <alignment horizontal="center"/>
    </xf>
    <xf numFmtId="12" fontId="8" fillId="3" borderId="9" xfId="0" applyNumberFormat="1" applyFont="1" applyFill="1" applyBorder="1" applyAlignment="1">
      <alignment horizontal="center"/>
    </xf>
    <xf numFmtId="12" fontId="8" fillId="3" borderId="4" xfId="0" applyNumberFormat="1" applyFont="1" applyFill="1" applyBorder="1" applyAlignment="1">
      <alignment horizontal="center"/>
    </xf>
    <xf numFmtId="12" fontId="8" fillId="3" borderId="2" xfId="0" applyNumberFormat="1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11" fillId="3" borderId="5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/>
    </xf>
    <xf numFmtId="0" fontId="11" fillId="3" borderId="4" xfId="0" applyFont="1" applyFill="1" applyBorder="1" applyAlignment="1">
      <alignment horizontal="center"/>
    </xf>
    <xf numFmtId="12" fontId="8" fillId="3" borderId="0" xfId="0" applyNumberFormat="1" applyFont="1" applyFill="1" applyBorder="1" applyAlignment="1">
      <alignment horizontal="center"/>
    </xf>
    <xf numFmtId="0" fontId="23" fillId="11" borderId="44" xfId="0" applyFont="1" applyFill="1" applyBorder="1" applyAlignment="1">
      <alignment horizontal="center"/>
    </xf>
    <xf numFmtId="0" fontId="23" fillId="11" borderId="51" xfId="0" applyFont="1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3" fillId="20" borderId="59" xfId="0" applyFont="1" applyFill="1" applyBorder="1" applyAlignment="1">
      <alignment horizontal="center"/>
    </xf>
    <xf numFmtId="0" fontId="23" fillId="20" borderId="49" xfId="0" applyFont="1" applyFill="1" applyBorder="1" applyAlignment="1">
      <alignment horizontal="center"/>
    </xf>
    <xf numFmtId="0" fontId="7" fillId="5" borderId="0" xfId="0" applyFont="1" applyFill="1" applyAlignment="1">
      <alignment horizontal="center"/>
    </xf>
    <xf numFmtId="0" fontId="23" fillId="11" borderId="46" xfId="0" applyFont="1" applyFill="1" applyBorder="1" applyAlignment="1">
      <alignment horizontal="center"/>
    </xf>
    <xf numFmtId="0" fontId="23" fillId="11" borderId="49" xfId="0" applyFont="1" applyFill="1" applyBorder="1" applyAlignment="1">
      <alignment horizontal="center"/>
    </xf>
    <xf numFmtId="0" fontId="23" fillId="19" borderId="46" xfId="0" applyFont="1" applyFill="1" applyBorder="1" applyAlignment="1">
      <alignment horizontal="center"/>
    </xf>
    <xf numFmtId="0" fontId="23" fillId="19" borderId="62" xfId="0" applyFont="1" applyFill="1" applyBorder="1" applyAlignment="1">
      <alignment horizontal="center"/>
    </xf>
    <xf numFmtId="0" fontId="25" fillId="0" borderId="0" xfId="0" applyFont="1" applyBorder="1"/>
  </cellXfs>
  <cellStyles count="5">
    <cellStyle name="Neutral" xfId="3" builtinId="28"/>
    <cellStyle name="Normal" xfId="0" builtinId="0"/>
    <cellStyle name="Porcentaje" xfId="2" builtinId="5"/>
    <cellStyle name="Texto de advertencia" xfId="4" builtinId="11"/>
    <cellStyle name="Texto explicativo" xfId="1" builtinId="53"/>
  </cellStyles>
  <dxfs count="2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top style="medium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top style="medium">
          <color theme="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7" formatCode="#\ ?/?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top style="medium">
          <color theme="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7" formatCode="#\ ?/?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top style="medium">
          <color theme="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7" formatCode="#\ ?/?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border outline="0">
        <top style="medium">
          <color theme="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7" formatCode="#\ ?/?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" formatCode="#\ ?/?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" formatCode="#\ ?/?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" formatCode="#\ ?/?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" formatCode="#\ ?/?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7" formatCode="#\ ?/?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7" formatCode="#\ ?/?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7" formatCode="#\ ?/?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7" formatCode="#\ ?/?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7" formatCode="#\ ?/?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7" formatCode="#\ ?/?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ck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" formatCode="#\ ?/?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17" formatCode="#\ ?/?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17" formatCode="#\ ?/?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7" formatCode="#\ ?/?"/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7" formatCode="#\ ?/?"/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" formatCode="#\ ?/?"/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7" formatCode="#\ ?/?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" formatCode="#\ ?/?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  <border>
        <vertical/>
        <horizontal/>
      </border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0070C0"/>
        </patternFill>
      </fill>
    </dxf>
    <dxf>
      <fill>
        <patternFill>
          <bgColor theme="9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CC0000"/>
      <color rgb="FFFFC7CE"/>
      <color rgb="FFCC3300"/>
      <color rgb="FFFF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Curva usada</a:t>
            </a:r>
          </a:p>
        </c:rich>
      </c:tx>
      <c:layout>
        <c:manualLayout>
          <c:xMode val="edge"/>
          <c:yMode val="edge"/>
          <c:x val="0.27300646066483703"/>
          <c:y val="3.81341586726310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8.3233814523184596E-2"/>
          <c:y val="0.18097222222222226"/>
          <c:w val="0.80949279744460467"/>
          <c:h val="0.7208876494604841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DimensionadorTrit!$U$33:$U$43</c:f>
              <c:numCache>
                <c:formatCode>General</c:formatCode>
                <c:ptCount val="11"/>
                <c:pt idx="0">
                  <c:v>0</c:v>
                </c:pt>
                <c:pt idx="1">
                  <c:v>0.6</c:v>
                </c:pt>
                <c:pt idx="2">
                  <c:v>0.9</c:v>
                </c:pt>
                <c:pt idx="3">
                  <c:v>1.1000000000000001</c:v>
                </c:pt>
                <c:pt idx="4">
                  <c:v>1.5</c:v>
                </c:pt>
                <c:pt idx="5">
                  <c:v>1.9</c:v>
                </c:pt>
                <c:pt idx="6">
                  <c:v>2.2000000000000002</c:v>
                </c:pt>
                <c:pt idx="7">
                  <c:v>2.4</c:v>
                </c:pt>
                <c:pt idx="8">
                  <c:v>2.5</c:v>
                </c:pt>
                <c:pt idx="9">
                  <c:v>2.7</c:v>
                </c:pt>
                <c:pt idx="10">
                  <c:v>3.3</c:v>
                </c:pt>
              </c:numCache>
            </c:numRef>
          </c:xVal>
          <c:yVal>
            <c:numRef>
              <c:f>DimensionadorTrit!$V$33:$V$43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EA-44F3-A81E-D917A288B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430112"/>
        <c:axId val="791432408"/>
      </c:scatterChart>
      <c:valAx>
        <c:axId val="791430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91432408"/>
        <c:crosses val="autoZero"/>
        <c:crossBetween val="midCat"/>
      </c:valAx>
      <c:valAx>
        <c:axId val="791432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91430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at 1/2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'Curvas Granul. M'!$B$4:$B$14</c:f>
              <c:numCache>
                <c:formatCode>0.00</c:formatCode>
                <c:ptCount val="11"/>
                <c:pt idx="0" formatCode="General">
                  <c:v>0</c:v>
                </c:pt>
                <c:pt idx="1">
                  <c:v>0.25</c:v>
                </c:pt>
                <c:pt idx="2">
                  <c:v>0.375</c:v>
                </c:pt>
                <c:pt idx="3">
                  <c:v>0.5</c:v>
                </c:pt>
                <c:pt idx="4">
                  <c:v>0.6</c:v>
                </c:pt>
                <c:pt idx="5">
                  <c:v>0.7</c:v>
                </c:pt>
                <c:pt idx="6">
                  <c:v>0.75</c:v>
                </c:pt>
                <c:pt idx="7">
                  <c:v>0.8</c:v>
                </c:pt>
                <c:pt idx="8">
                  <c:v>0.85</c:v>
                </c:pt>
                <c:pt idx="9">
                  <c:v>1</c:v>
                </c:pt>
                <c:pt idx="10">
                  <c:v>1.2</c:v>
                </c:pt>
              </c:numCache>
            </c:numRef>
          </c:xVal>
          <c:yVal>
            <c:numRef>
              <c:f>'Curvas Granul. M'!$A$4:$A$14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CE-4A40-BBA2-7AA47F6981DD}"/>
            </c:ext>
          </c:extLst>
        </c:ser>
        <c:ser>
          <c:idx val="1"/>
          <c:order val="1"/>
          <c:tx>
            <c:v>at 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'Curvas Granul. M'!$C$4:$C$14</c:f>
              <c:numCache>
                <c:formatCode>0.00</c:formatCode>
                <c:ptCount val="11"/>
                <c:pt idx="0" formatCode="General">
                  <c:v>0</c:v>
                </c:pt>
                <c:pt idx="1">
                  <c:v>0.3</c:v>
                </c:pt>
                <c:pt idx="2">
                  <c:v>0.5</c:v>
                </c:pt>
                <c:pt idx="3">
                  <c:v>0.65</c:v>
                </c:pt>
                <c:pt idx="4">
                  <c:v>0.8</c:v>
                </c:pt>
                <c:pt idx="5">
                  <c:v>1</c:v>
                </c:pt>
                <c:pt idx="6">
                  <c:v>1.1000000000000001</c:v>
                </c:pt>
                <c:pt idx="7">
                  <c:v>1.2</c:v>
                </c:pt>
                <c:pt idx="8">
                  <c:v>1.3</c:v>
                </c:pt>
                <c:pt idx="9">
                  <c:v>1.5</c:v>
                </c:pt>
                <c:pt idx="10">
                  <c:v>1.9</c:v>
                </c:pt>
              </c:numCache>
            </c:numRef>
          </c:xVal>
          <c:yVal>
            <c:numRef>
              <c:f>'Curvas Granul. M'!$A$4:$A$14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77-4BC9-92DA-E48BF7713C65}"/>
            </c:ext>
          </c:extLst>
        </c:ser>
        <c:ser>
          <c:idx val="2"/>
          <c:order val="2"/>
          <c:tx>
            <c:v>at 1 1/2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'Curvas Granul. M'!$D$4:$D$14</c:f>
              <c:numCache>
                <c:formatCode>0.00</c:formatCode>
                <c:ptCount val="11"/>
                <c:pt idx="0" formatCode="General">
                  <c:v>0</c:v>
                </c:pt>
                <c:pt idx="1">
                  <c:v>0.4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1.4</c:v>
                </c:pt>
                <c:pt idx="6">
                  <c:v>1.5</c:v>
                </c:pt>
                <c:pt idx="7">
                  <c:v>1.65</c:v>
                </c:pt>
                <c:pt idx="8">
                  <c:v>1.75</c:v>
                </c:pt>
                <c:pt idx="9">
                  <c:v>2</c:v>
                </c:pt>
                <c:pt idx="10">
                  <c:v>2.5</c:v>
                </c:pt>
              </c:numCache>
            </c:numRef>
          </c:xVal>
          <c:yVal>
            <c:numRef>
              <c:f>'Curvas Granul. M'!$A$4:$A$14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77-4BC9-92DA-E48BF7713C65}"/>
            </c:ext>
          </c:extLst>
        </c:ser>
        <c:ser>
          <c:idx val="3"/>
          <c:order val="3"/>
          <c:tx>
            <c:v>at 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'Curvas Granul. M'!$E$4:$E$14</c:f>
              <c:numCache>
                <c:formatCode>0.00</c:formatCode>
                <c:ptCount val="11"/>
                <c:pt idx="0" formatCode="General">
                  <c:v>0</c:v>
                </c:pt>
                <c:pt idx="1">
                  <c:v>0.6</c:v>
                </c:pt>
                <c:pt idx="2">
                  <c:v>1.2</c:v>
                </c:pt>
                <c:pt idx="3">
                  <c:v>1.5</c:v>
                </c:pt>
                <c:pt idx="4">
                  <c:v>1.7</c:v>
                </c:pt>
                <c:pt idx="5">
                  <c:v>1.9</c:v>
                </c:pt>
                <c:pt idx="6">
                  <c:v>2.2000000000000002</c:v>
                </c:pt>
                <c:pt idx="7">
                  <c:v>2.4</c:v>
                </c:pt>
                <c:pt idx="8">
                  <c:v>2.5</c:v>
                </c:pt>
                <c:pt idx="9">
                  <c:v>2.7</c:v>
                </c:pt>
                <c:pt idx="10">
                  <c:v>3.3</c:v>
                </c:pt>
              </c:numCache>
            </c:numRef>
          </c:xVal>
          <c:yVal>
            <c:numRef>
              <c:f>'Curvas Granul. M'!$A$4:$A$14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77-4BC9-92DA-E48BF7713C65}"/>
            </c:ext>
          </c:extLst>
        </c:ser>
        <c:ser>
          <c:idx val="4"/>
          <c:order val="4"/>
          <c:tx>
            <c:v>at 2 1/2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'Curvas Granul. M'!$F$4:$F$17</c:f>
              <c:numCache>
                <c:formatCode>0.00</c:formatCode>
                <c:ptCount val="14"/>
                <c:pt idx="0" formatCode="General">
                  <c:v>0</c:v>
                </c:pt>
                <c:pt idx="1">
                  <c:v>0.8</c:v>
                </c:pt>
                <c:pt idx="2">
                  <c:v>1.5</c:v>
                </c:pt>
                <c:pt idx="3">
                  <c:v>1.8</c:v>
                </c:pt>
                <c:pt idx="4">
                  <c:v>2.2000000000000002</c:v>
                </c:pt>
                <c:pt idx="5">
                  <c:v>2.4</c:v>
                </c:pt>
                <c:pt idx="6">
                  <c:v>2.7</c:v>
                </c:pt>
                <c:pt idx="7">
                  <c:v>3</c:v>
                </c:pt>
                <c:pt idx="8">
                  <c:v>3.3</c:v>
                </c:pt>
                <c:pt idx="9">
                  <c:v>3.7</c:v>
                </c:pt>
                <c:pt idx="10">
                  <c:v>4.2</c:v>
                </c:pt>
              </c:numCache>
            </c:numRef>
          </c:xVal>
          <c:yVal>
            <c:numRef>
              <c:f>'Curvas Granul. M'!$A$4:$A$14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77-4BC9-92DA-E48BF7713C65}"/>
            </c:ext>
          </c:extLst>
        </c:ser>
        <c:ser>
          <c:idx val="5"/>
          <c:order val="5"/>
          <c:tx>
            <c:v>at 3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'Curvas Granul. M'!$G$4:$G$17</c:f>
              <c:numCache>
                <c:formatCode>0.00</c:formatCode>
                <c:ptCount val="14"/>
                <c:pt idx="0" formatCode="General">
                  <c:v>0</c:v>
                </c:pt>
                <c:pt idx="1">
                  <c:v>1</c:v>
                </c:pt>
                <c:pt idx="2">
                  <c:v>1.75</c:v>
                </c:pt>
                <c:pt idx="3">
                  <c:v>2.4</c:v>
                </c:pt>
                <c:pt idx="4">
                  <c:v>2.8</c:v>
                </c:pt>
                <c:pt idx="5">
                  <c:v>3.2</c:v>
                </c:pt>
                <c:pt idx="6">
                  <c:v>3.5</c:v>
                </c:pt>
                <c:pt idx="7">
                  <c:v>3.8</c:v>
                </c:pt>
                <c:pt idx="8">
                  <c:v>4.2</c:v>
                </c:pt>
                <c:pt idx="9">
                  <c:v>4.5</c:v>
                </c:pt>
                <c:pt idx="10">
                  <c:v>4.9000000000000004</c:v>
                </c:pt>
              </c:numCache>
            </c:numRef>
          </c:xVal>
          <c:yVal>
            <c:numRef>
              <c:f>'Curvas Granul. M'!$A$4:$A$14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A77-4BC9-92DA-E48BF7713C65}"/>
            </c:ext>
          </c:extLst>
        </c:ser>
        <c:ser>
          <c:idx val="6"/>
          <c:order val="6"/>
          <c:tx>
            <c:v>at 3 1/2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'Curvas Granul. M'!$H$4:$H$17</c:f>
              <c:numCache>
                <c:formatCode>0.00</c:formatCode>
                <c:ptCount val="14"/>
                <c:pt idx="0" formatCode="General">
                  <c:v>0</c:v>
                </c:pt>
                <c:pt idx="1">
                  <c:v>1.25</c:v>
                </c:pt>
                <c:pt idx="2">
                  <c:v>2</c:v>
                </c:pt>
                <c:pt idx="3">
                  <c:v>2.7</c:v>
                </c:pt>
                <c:pt idx="4">
                  <c:v>3.25</c:v>
                </c:pt>
                <c:pt idx="5">
                  <c:v>3.7250000000000001</c:v>
                </c:pt>
                <c:pt idx="6">
                  <c:v>4.2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</c:numCache>
            </c:numRef>
          </c:xVal>
          <c:yVal>
            <c:numRef>
              <c:f>'Curvas Granul. M'!$A$4:$A$14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A77-4BC9-92DA-E48BF7713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7755680"/>
        <c:axId val="767756008"/>
      </c:scatterChart>
      <c:valAx>
        <c:axId val="76775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67756008"/>
        <c:crosses val="autoZero"/>
        <c:crossBetween val="midCat"/>
      </c:valAx>
      <c:valAx>
        <c:axId val="767756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67755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at 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'Curvas Granul. M'!$B$20:$B$30</c:f>
              <c:numCache>
                <c:formatCode>General</c:formatCode>
                <c:ptCount val="11"/>
                <c:pt idx="0">
                  <c:v>0</c:v>
                </c:pt>
                <c:pt idx="1">
                  <c:v>0.6</c:v>
                </c:pt>
                <c:pt idx="2">
                  <c:v>0.9</c:v>
                </c:pt>
                <c:pt idx="3">
                  <c:v>1.1000000000000001</c:v>
                </c:pt>
                <c:pt idx="4">
                  <c:v>1.5</c:v>
                </c:pt>
                <c:pt idx="5">
                  <c:v>1.9</c:v>
                </c:pt>
                <c:pt idx="6">
                  <c:v>2.2000000000000002</c:v>
                </c:pt>
                <c:pt idx="7">
                  <c:v>2.4</c:v>
                </c:pt>
                <c:pt idx="8">
                  <c:v>2.5</c:v>
                </c:pt>
                <c:pt idx="9">
                  <c:v>2.7</c:v>
                </c:pt>
                <c:pt idx="10">
                  <c:v>3.3</c:v>
                </c:pt>
              </c:numCache>
            </c:numRef>
          </c:xVal>
          <c:yVal>
            <c:numRef>
              <c:f>'Curvas Granul. M'!$A$20:$A$30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1B-4F62-BFEC-22831D2AAE61}"/>
            </c:ext>
          </c:extLst>
        </c:ser>
        <c:ser>
          <c:idx val="1"/>
          <c:order val="1"/>
          <c:tx>
            <c:v>at 2 1/2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'Curvas Granul. M'!$C$20:$C$30</c:f>
              <c:numCache>
                <c:formatCode>General</c:formatCode>
                <c:ptCount val="11"/>
                <c:pt idx="0">
                  <c:v>0</c:v>
                </c:pt>
                <c:pt idx="1">
                  <c:v>0.8</c:v>
                </c:pt>
                <c:pt idx="2">
                  <c:v>1.5</c:v>
                </c:pt>
                <c:pt idx="3">
                  <c:v>1.8</c:v>
                </c:pt>
                <c:pt idx="4">
                  <c:v>2.2000000000000002</c:v>
                </c:pt>
                <c:pt idx="5">
                  <c:v>2.4</c:v>
                </c:pt>
                <c:pt idx="6">
                  <c:v>2.6</c:v>
                </c:pt>
                <c:pt idx="7">
                  <c:v>2.8</c:v>
                </c:pt>
                <c:pt idx="8">
                  <c:v>3.3</c:v>
                </c:pt>
                <c:pt idx="9">
                  <c:v>4</c:v>
                </c:pt>
                <c:pt idx="10">
                  <c:v>4.7</c:v>
                </c:pt>
              </c:numCache>
            </c:numRef>
          </c:xVal>
          <c:yVal>
            <c:numRef>
              <c:f>'Curvas Granul. M'!$A$20:$A$30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1B-4F62-BFEC-22831D2AAE61}"/>
            </c:ext>
          </c:extLst>
        </c:ser>
        <c:ser>
          <c:idx val="2"/>
          <c:order val="2"/>
          <c:tx>
            <c:v>at 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'Curvas Granul. M'!$D$20:$D$30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1.75</c:v>
                </c:pt>
                <c:pt idx="3">
                  <c:v>2.4</c:v>
                </c:pt>
                <c:pt idx="4">
                  <c:v>2.8</c:v>
                </c:pt>
                <c:pt idx="5">
                  <c:v>3.2</c:v>
                </c:pt>
                <c:pt idx="6">
                  <c:v>3.5</c:v>
                </c:pt>
                <c:pt idx="7">
                  <c:v>3.8</c:v>
                </c:pt>
                <c:pt idx="8">
                  <c:v>4.2</c:v>
                </c:pt>
                <c:pt idx="9">
                  <c:v>4.5</c:v>
                </c:pt>
                <c:pt idx="10">
                  <c:v>5.2</c:v>
                </c:pt>
              </c:numCache>
            </c:numRef>
          </c:xVal>
          <c:yVal>
            <c:numRef>
              <c:f>'Curvas Granul. M'!$A$20:$A$30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1B-4F62-BFEC-22831D2AAE61}"/>
            </c:ext>
          </c:extLst>
        </c:ser>
        <c:ser>
          <c:idx val="3"/>
          <c:order val="3"/>
          <c:tx>
            <c:v>at 3 1/2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'Curvas Granul. M'!$E$20:$E$30</c:f>
              <c:numCache>
                <c:formatCode>General</c:formatCode>
                <c:ptCount val="11"/>
                <c:pt idx="0">
                  <c:v>0</c:v>
                </c:pt>
                <c:pt idx="1">
                  <c:v>1.25</c:v>
                </c:pt>
                <c:pt idx="2">
                  <c:v>2</c:v>
                </c:pt>
                <c:pt idx="3">
                  <c:v>2.7</c:v>
                </c:pt>
                <c:pt idx="4">
                  <c:v>3.25</c:v>
                </c:pt>
                <c:pt idx="5">
                  <c:v>3.7250000000000001</c:v>
                </c:pt>
                <c:pt idx="6">
                  <c:v>4.2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6.1</c:v>
                </c:pt>
              </c:numCache>
            </c:numRef>
          </c:xVal>
          <c:yVal>
            <c:numRef>
              <c:f>'Curvas Granul. M'!$A$20:$A$30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41B-4F62-BFEC-22831D2AAE61}"/>
            </c:ext>
          </c:extLst>
        </c:ser>
        <c:ser>
          <c:idx val="4"/>
          <c:order val="4"/>
          <c:tx>
            <c:v>at 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'Curvas Granul. M'!$F$20:$F$30</c:f>
              <c:numCache>
                <c:formatCode>General</c:formatCode>
                <c:ptCount val="11"/>
                <c:pt idx="0">
                  <c:v>0</c:v>
                </c:pt>
                <c:pt idx="1">
                  <c:v>1.5</c:v>
                </c:pt>
                <c:pt idx="2">
                  <c:v>2.4</c:v>
                </c:pt>
                <c:pt idx="3">
                  <c:v>3</c:v>
                </c:pt>
                <c:pt idx="4">
                  <c:v>3.9</c:v>
                </c:pt>
                <c:pt idx="5">
                  <c:v>4.0999999999999996</c:v>
                </c:pt>
                <c:pt idx="6">
                  <c:v>4.7</c:v>
                </c:pt>
                <c:pt idx="7">
                  <c:v>5</c:v>
                </c:pt>
                <c:pt idx="8">
                  <c:v>5.4</c:v>
                </c:pt>
                <c:pt idx="9">
                  <c:v>6</c:v>
                </c:pt>
                <c:pt idx="10">
                  <c:v>6.8</c:v>
                </c:pt>
              </c:numCache>
            </c:numRef>
          </c:xVal>
          <c:yVal>
            <c:numRef>
              <c:f>'Curvas Granul. M'!$A$20:$A$30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41B-4F62-BFEC-22831D2AAE61}"/>
            </c:ext>
          </c:extLst>
        </c:ser>
        <c:ser>
          <c:idx val="5"/>
          <c:order val="5"/>
          <c:tx>
            <c:v>at 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'Curvas Granul. M'!$G$20:$G$30</c:f>
              <c:numCache>
                <c:formatCode>General</c:formatCode>
                <c:ptCount val="11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4.8</c:v>
                </c:pt>
                <c:pt idx="5">
                  <c:v>5</c:v>
                </c:pt>
                <c:pt idx="6">
                  <c:v>5.5</c:v>
                </c:pt>
                <c:pt idx="7">
                  <c:v>6</c:v>
                </c:pt>
                <c:pt idx="8">
                  <c:v>6.6</c:v>
                </c:pt>
                <c:pt idx="9">
                  <c:v>7.2</c:v>
                </c:pt>
                <c:pt idx="10">
                  <c:v>8</c:v>
                </c:pt>
              </c:numCache>
            </c:numRef>
          </c:xVal>
          <c:yVal>
            <c:numRef>
              <c:f>'Curvas Granul. M'!$A$20:$A$30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41B-4F62-BFEC-22831D2AAE61}"/>
            </c:ext>
          </c:extLst>
        </c:ser>
        <c:ser>
          <c:idx val="6"/>
          <c:order val="6"/>
          <c:tx>
            <c:v>at 6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'Curvas Granul. M'!$H$20:$H$30</c:f>
              <c:numCache>
                <c:formatCode>General</c:formatCode>
                <c:ptCount val="11"/>
                <c:pt idx="0">
                  <c:v>0</c:v>
                </c:pt>
                <c:pt idx="1">
                  <c:v>2.5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6</c:v>
                </c:pt>
                <c:pt idx="6">
                  <c:v>6.5</c:v>
                </c:pt>
                <c:pt idx="7">
                  <c:v>7</c:v>
                </c:pt>
                <c:pt idx="8">
                  <c:v>7.5</c:v>
                </c:pt>
                <c:pt idx="9">
                  <c:v>8.5</c:v>
                </c:pt>
                <c:pt idx="10">
                  <c:v>9.9</c:v>
                </c:pt>
              </c:numCache>
            </c:numRef>
          </c:xVal>
          <c:yVal>
            <c:numRef>
              <c:f>'Curvas Granul. M'!$A$20:$A$30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41B-4F62-BFEC-22831D2AAE61}"/>
            </c:ext>
          </c:extLst>
        </c:ser>
        <c:ser>
          <c:idx val="7"/>
          <c:order val="7"/>
          <c:tx>
            <c:v>at 7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'Curvas Granul. M'!$I$20:$I$30</c:f>
              <c:numCache>
                <c:formatCode>General</c:formatCode>
                <c:ptCount val="11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5.5</c:v>
                </c:pt>
                <c:pt idx="4">
                  <c:v>6.5</c:v>
                </c:pt>
                <c:pt idx="5">
                  <c:v>7</c:v>
                </c:pt>
                <c:pt idx="6">
                  <c:v>7.8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11</c:v>
                </c:pt>
              </c:numCache>
            </c:numRef>
          </c:xVal>
          <c:yVal>
            <c:numRef>
              <c:f>'Curvas Granul. M'!$A$20:$A$30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41B-4F62-BFEC-22831D2AAE61}"/>
            </c:ext>
          </c:extLst>
        </c:ser>
        <c:ser>
          <c:idx val="8"/>
          <c:order val="8"/>
          <c:tx>
            <c:v>at 8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'Curvas Granul. M'!$J$20:$J$30</c:f>
              <c:numCache>
                <c:formatCode>General</c:formatCode>
                <c:ptCount val="11"/>
                <c:pt idx="0">
                  <c:v>0</c:v>
                </c:pt>
                <c:pt idx="1">
                  <c:v>4</c:v>
                </c:pt>
                <c:pt idx="2">
                  <c:v>5.5</c:v>
                </c:pt>
                <c:pt idx="3">
                  <c:v>6.5</c:v>
                </c:pt>
                <c:pt idx="4">
                  <c:v>7.5</c:v>
                </c:pt>
                <c:pt idx="5">
                  <c:v>8.1999999999999993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</c:numCache>
            </c:numRef>
          </c:xVal>
          <c:yVal>
            <c:numRef>
              <c:f>'Curvas Granul. M'!$A$20:$A$30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41B-4F62-BFEC-22831D2AAE61}"/>
            </c:ext>
          </c:extLst>
        </c:ser>
        <c:ser>
          <c:idx val="9"/>
          <c:order val="9"/>
          <c:tx>
            <c:v>at 9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'Curvas Granul. M'!$K$20:$K$30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6.5</c:v>
                </c:pt>
                <c:pt idx="3">
                  <c:v>7.5</c:v>
                </c:pt>
                <c:pt idx="4">
                  <c:v>8.5</c:v>
                </c:pt>
                <c:pt idx="5">
                  <c:v>9.5</c:v>
                </c:pt>
                <c:pt idx="6">
                  <c:v>10.5</c:v>
                </c:pt>
                <c:pt idx="7">
                  <c:v>11</c:v>
                </c:pt>
                <c:pt idx="8">
                  <c:v>12.5</c:v>
                </c:pt>
                <c:pt idx="9">
                  <c:v>13.5</c:v>
                </c:pt>
                <c:pt idx="10">
                  <c:v>15</c:v>
                </c:pt>
              </c:numCache>
            </c:numRef>
          </c:xVal>
          <c:yVal>
            <c:numRef>
              <c:f>'Curvas Granul. M'!$A$20:$A$30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41B-4F62-BFEC-22831D2AAE61}"/>
            </c:ext>
          </c:extLst>
        </c:ser>
        <c:ser>
          <c:idx val="10"/>
          <c:order val="10"/>
          <c:tx>
            <c:v>at 10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'Curvas Granul. M'!$L$20:$L$30</c:f>
              <c:numCache>
                <c:formatCode>General</c:formatCode>
                <c:ptCount val="11"/>
                <c:pt idx="0">
                  <c:v>0</c:v>
                </c:pt>
                <c:pt idx="1">
                  <c:v>6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12.5</c:v>
                </c:pt>
                <c:pt idx="7">
                  <c:v>14</c:v>
                </c:pt>
                <c:pt idx="8">
                  <c:v>15.5</c:v>
                </c:pt>
                <c:pt idx="9">
                  <c:v>17</c:v>
                </c:pt>
                <c:pt idx="10">
                  <c:v>20</c:v>
                </c:pt>
              </c:numCache>
            </c:numRef>
          </c:xVal>
          <c:yVal>
            <c:numRef>
              <c:f>'Curvas Granul. M'!$A$20:$A$30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41B-4F62-BFEC-22831D2AAE61}"/>
            </c:ext>
          </c:extLst>
        </c:ser>
        <c:ser>
          <c:idx val="11"/>
          <c:order val="11"/>
          <c:tx>
            <c:v>at 11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'Curvas Granul. M'!$M$20:$M$30</c:f>
              <c:numCache>
                <c:formatCode>General</c:formatCode>
                <c:ptCount val="11"/>
                <c:pt idx="0">
                  <c:v>0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12.5</c:v>
                </c:pt>
                <c:pt idx="5">
                  <c:v>14</c:v>
                </c:pt>
                <c:pt idx="6">
                  <c:v>16</c:v>
                </c:pt>
                <c:pt idx="7">
                  <c:v>17.5</c:v>
                </c:pt>
                <c:pt idx="8">
                  <c:v>20</c:v>
                </c:pt>
                <c:pt idx="9">
                  <c:v>22</c:v>
                </c:pt>
                <c:pt idx="10">
                  <c:v>24.5</c:v>
                </c:pt>
              </c:numCache>
            </c:numRef>
          </c:xVal>
          <c:yVal>
            <c:numRef>
              <c:f>'Curvas Granul. M'!$A$20:$A$30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41B-4F62-BFEC-22831D2AAE61}"/>
            </c:ext>
          </c:extLst>
        </c:ser>
        <c:ser>
          <c:idx val="12"/>
          <c:order val="12"/>
          <c:tx>
            <c:v>at 12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'Curvas Granul. M'!$N$20:$N$30</c:f>
              <c:numCache>
                <c:formatCode>General</c:formatCode>
                <c:ptCount val="11"/>
                <c:pt idx="0">
                  <c:v>0</c:v>
                </c:pt>
                <c:pt idx="1">
                  <c:v>9</c:v>
                </c:pt>
                <c:pt idx="2">
                  <c:v>11</c:v>
                </c:pt>
                <c:pt idx="3">
                  <c:v>13</c:v>
                </c:pt>
                <c:pt idx="4">
                  <c:v>15</c:v>
                </c:pt>
                <c:pt idx="5">
                  <c:v>17</c:v>
                </c:pt>
                <c:pt idx="6">
                  <c:v>19</c:v>
                </c:pt>
                <c:pt idx="7">
                  <c:v>21</c:v>
                </c:pt>
                <c:pt idx="8">
                  <c:v>24</c:v>
                </c:pt>
                <c:pt idx="9">
                  <c:v>27</c:v>
                </c:pt>
                <c:pt idx="10">
                  <c:v>30</c:v>
                </c:pt>
              </c:numCache>
            </c:numRef>
          </c:xVal>
          <c:yVal>
            <c:numRef>
              <c:f>'Curvas Granul. M'!$A$20:$A$30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41B-4F62-BFEC-22831D2AA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2028968"/>
        <c:axId val="822027000"/>
      </c:scatterChart>
      <c:valAx>
        <c:axId val="822028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22027000"/>
        <c:crosses val="autoZero"/>
        <c:crossBetween val="midCat"/>
      </c:valAx>
      <c:valAx>
        <c:axId val="822027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22028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</xdr:row>
          <xdr:rowOff>236220</xdr:rowOff>
        </xdr:from>
        <xdr:to>
          <xdr:col>5</xdr:col>
          <xdr:colOff>0</xdr:colOff>
          <xdr:row>17</xdr:row>
          <xdr:rowOff>68580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Informe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15</xdr:row>
          <xdr:rowOff>266700</xdr:rowOff>
        </xdr:from>
        <xdr:to>
          <xdr:col>2</xdr:col>
          <xdr:colOff>2049780</xdr:colOff>
          <xdr:row>17</xdr:row>
          <xdr:rowOff>68580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badi"/>
                </a:rPr>
                <a:t>Limpiar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268653</xdr:colOff>
      <xdr:row>1</xdr:row>
      <xdr:rowOff>97692</xdr:rowOff>
    </xdr:from>
    <xdr:to>
      <xdr:col>2</xdr:col>
      <xdr:colOff>232018</xdr:colOff>
      <xdr:row>6</xdr:row>
      <xdr:rowOff>12212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778" y="288192"/>
          <a:ext cx="725365" cy="962270"/>
        </a:xfrm>
        <a:prstGeom prst="rect">
          <a:avLst/>
        </a:prstGeom>
      </xdr:spPr>
    </xdr:pic>
    <xdr:clientData/>
  </xdr:twoCellAnchor>
  <xdr:twoCellAnchor>
    <xdr:from>
      <xdr:col>2</xdr:col>
      <xdr:colOff>123141</xdr:colOff>
      <xdr:row>34</xdr:row>
      <xdr:rowOff>142459</xdr:rowOff>
    </xdr:from>
    <xdr:to>
      <xdr:col>6</xdr:col>
      <xdr:colOff>541088</xdr:colOff>
      <xdr:row>47</xdr:row>
      <xdr:rowOff>83839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3B1B7D50-7505-49BF-A38D-F8CF2EAA4A76}"/>
            </a:ext>
          </a:extLst>
        </xdr:cNvPr>
        <xdr:cNvGrpSpPr/>
      </xdr:nvGrpSpPr>
      <xdr:grpSpPr>
        <a:xfrm>
          <a:off x="1220701" y="6280404"/>
          <a:ext cx="3773543" cy="2213398"/>
          <a:chOff x="742950" y="6457950"/>
          <a:chExt cx="5029290" cy="2582769"/>
        </a:xfrm>
      </xdr:grpSpPr>
      <xdr:cxnSp macro="">
        <xdr:nvCxnSpPr>
          <xdr:cNvPr id="4" name="Conector recto de flecha 3">
            <a:extLst>
              <a:ext uri="{FF2B5EF4-FFF2-40B4-BE49-F238E27FC236}">
                <a16:creationId xmlns:a16="http://schemas.microsoft.com/office/drawing/2014/main" id="{BA24654E-D8D2-3DB0-E003-8D26A2AB9562}"/>
              </a:ext>
            </a:extLst>
          </xdr:cNvPr>
          <xdr:cNvCxnSpPr/>
        </xdr:nvCxnSpPr>
        <xdr:spPr>
          <a:xfrm>
            <a:off x="4032183" y="7334942"/>
            <a:ext cx="0" cy="1123258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ector recto de flecha 4">
            <a:extLst>
              <a:ext uri="{FF2B5EF4-FFF2-40B4-BE49-F238E27FC236}">
                <a16:creationId xmlns:a16="http://schemas.microsoft.com/office/drawing/2014/main" id="{66925DCC-59E2-791B-E783-E9DC0BD63CF8}"/>
              </a:ext>
            </a:extLst>
          </xdr:cNvPr>
          <xdr:cNvCxnSpPr/>
        </xdr:nvCxnSpPr>
        <xdr:spPr>
          <a:xfrm>
            <a:off x="4534803" y="7444054"/>
            <a:ext cx="0" cy="1014146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Conector recto de flecha 5">
            <a:extLst>
              <a:ext uri="{FF2B5EF4-FFF2-40B4-BE49-F238E27FC236}">
                <a16:creationId xmlns:a16="http://schemas.microsoft.com/office/drawing/2014/main" id="{554A9837-85A1-451B-8D52-C92A0F5D4AD2}"/>
              </a:ext>
            </a:extLst>
          </xdr:cNvPr>
          <xdr:cNvCxnSpPr/>
        </xdr:nvCxnSpPr>
        <xdr:spPr>
          <a:xfrm>
            <a:off x="5063619" y="7582593"/>
            <a:ext cx="0" cy="913707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Triángulo isósceles 6">
            <a:extLst>
              <a:ext uri="{FF2B5EF4-FFF2-40B4-BE49-F238E27FC236}">
                <a16:creationId xmlns:a16="http://schemas.microsoft.com/office/drawing/2014/main" id="{1607BFA1-7A1F-53AE-2939-E9E9452BA04C}"/>
              </a:ext>
            </a:extLst>
          </xdr:cNvPr>
          <xdr:cNvSpPr/>
        </xdr:nvSpPr>
        <xdr:spPr>
          <a:xfrm>
            <a:off x="742950" y="8673791"/>
            <a:ext cx="450604" cy="366928"/>
          </a:xfrm>
          <a:prstGeom prst="triangle">
            <a:avLst/>
          </a:prstGeom>
          <a:solidFill>
            <a:schemeClr val="accent2">
              <a:lumMod val="50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cxnSp macro="">
        <xdr:nvCxnSpPr>
          <xdr:cNvPr id="8" name="Conector recto 7">
            <a:extLst>
              <a:ext uri="{FF2B5EF4-FFF2-40B4-BE49-F238E27FC236}">
                <a16:creationId xmlns:a16="http://schemas.microsoft.com/office/drawing/2014/main" id="{ACC33D2D-172D-8795-5037-C0E5E3DEB0CB}"/>
              </a:ext>
            </a:extLst>
          </xdr:cNvPr>
          <xdr:cNvCxnSpPr>
            <a:stCxn id="7" idx="0"/>
          </xdr:cNvCxnSpPr>
        </xdr:nvCxnSpPr>
        <xdr:spPr>
          <a:xfrm flipV="1">
            <a:off x="968252" y="6457950"/>
            <a:ext cx="870687" cy="2215841"/>
          </a:xfrm>
          <a:prstGeom prst="line">
            <a:avLst/>
          </a:prstGeom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68B10901-AC88-7C51-1BC0-B70C1803355F}"/>
              </a:ext>
            </a:extLst>
          </xdr:cNvPr>
          <xdr:cNvGrpSpPr/>
        </xdr:nvGrpSpPr>
        <xdr:grpSpPr>
          <a:xfrm>
            <a:off x="1669307" y="7085192"/>
            <a:ext cx="382566" cy="358652"/>
            <a:chOff x="12066494" y="5683623"/>
            <a:chExt cx="582706" cy="582706"/>
          </a:xfrm>
        </xdr:grpSpPr>
        <xdr:sp macro="" textlink="">
          <xdr:nvSpPr>
            <xdr:cNvPr id="20" name="Rectángulo 19">
              <a:extLst>
                <a:ext uri="{FF2B5EF4-FFF2-40B4-BE49-F238E27FC236}">
                  <a16:creationId xmlns:a16="http://schemas.microsoft.com/office/drawing/2014/main" id="{4E3AD7C5-66FB-8219-061A-44F889DEB571}"/>
                </a:ext>
              </a:extLst>
            </xdr:cNvPr>
            <xdr:cNvSpPr/>
          </xdr:nvSpPr>
          <xdr:spPr>
            <a:xfrm>
              <a:off x="12066494" y="5683623"/>
              <a:ext cx="582706" cy="582706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  <xdr:cxnSp macro="">
          <xdr:nvCxnSpPr>
            <xdr:cNvPr id="21" name="Conector recto 20">
              <a:extLst>
                <a:ext uri="{FF2B5EF4-FFF2-40B4-BE49-F238E27FC236}">
                  <a16:creationId xmlns:a16="http://schemas.microsoft.com/office/drawing/2014/main" id="{8713EE8D-8887-1FEE-FAF4-BCAF9880F18A}"/>
                </a:ext>
              </a:extLst>
            </xdr:cNvPr>
            <xdr:cNvCxnSpPr/>
          </xdr:nvCxnSpPr>
          <xdr:spPr>
            <a:xfrm flipV="1">
              <a:off x="12066494" y="5683624"/>
              <a:ext cx="582706" cy="582705"/>
            </a:xfrm>
            <a:prstGeom prst="line">
              <a:avLst/>
            </a:prstGeom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tx1"/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4A4768C4-4353-BFA2-B302-EBCB2096B4CA}"/>
              </a:ext>
            </a:extLst>
          </xdr:cNvPr>
          <xdr:cNvGrpSpPr/>
        </xdr:nvGrpSpPr>
        <xdr:grpSpPr>
          <a:xfrm rot="900000">
            <a:off x="4318912" y="6533205"/>
            <a:ext cx="1453328" cy="1259540"/>
            <a:chOff x="16161448" y="4543821"/>
            <a:chExt cx="2213637" cy="1975055"/>
          </a:xfrm>
        </xdr:grpSpPr>
        <xdr:sp macro="" textlink="">
          <xdr:nvSpPr>
            <xdr:cNvPr id="17" name="Triángulo isósceles 16">
              <a:extLst>
                <a:ext uri="{FF2B5EF4-FFF2-40B4-BE49-F238E27FC236}">
                  <a16:creationId xmlns:a16="http://schemas.microsoft.com/office/drawing/2014/main" id="{5FA33E49-5D6F-BCFF-F634-7B4C0B7AF6CF}"/>
                </a:ext>
              </a:extLst>
            </xdr:cNvPr>
            <xdr:cNvSpPr/>
          </xdr:nvSpPr>
          <xdr:spPr>
            <a:xfrm rot="8100000">
              <a:off x="16161448" y="4628114"/>
              <a:ext cx="2213637" cy="1890762"/>
            </a:xfrm>
            <a:prstGeom prst="triangle">
              <a:avLst/>
            </a:prstGeom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  <xdr:cxnSp macro="">
          <xdr:nvCxnSpPr>
            <xdr:cNvPr id="18" name="Conector recto 17">
              <a:extLst>
                <a:ext uri="{FF2B5EF4-FFF2-40B4-BE49-F238E27FC236}">
                  <a16:creationId xmlns:a16="http://schemas.microsoft.com/office/drawing/2014/main" id="{5F5B6C2C-3D56-5E69-08B1-3F269044A670}"/>
                </a:ext>
              </a:extLst>
            </xdr:cNvPr>
            <xdr:cNvCxnSpPr/>
          </xdr:nvCxnSpPr>
          <xdr:spPr>
            <a:xfrm flipV="1">
              <a:off x="16191649" y="4543821"/>
              <a:ext cx="1399867" cy="1386995"/>
            </a:xfrm>
            <a:prstGeom prst="line">
              <a:avLst/>
            </a:prstGeom>
            <a:ln w="9525" cap="flat" cmpd="sng" algn="ctr">
              <a:solidFill>
                <a:schemeClr val="dk1"/>
              </a:solidFill>
              <a:prstDash val="dash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</xdr:cxnSp>
        <xdr:cxnSp macro="">
          <xdr:nvCxnSpPr>
            <xdr:cNvPr id="19" name="Conector recto 18">
              <a:extLst>
                <a:ext uri="{FF2B5EF4-FFF2-40B4-BE49-F238E27FC236}">
                  <a16:creationId xmlns:a16="http://schemas.microsoft.com/office/drawing/2014/main" id="{9148D438-E41E-46F1-1A3D-EAD0D792BE88}"/>
                </a:ext>
              </a:extLst>
            </xdr:cNvPr>
            <xdr:cNvCxnSpPr/>
          </xdr:nvCxnSpPr>
          <xdr:spPr>
            <a:xfrm flipV="1">
              <a:off x="16856759" y="5207668"/>
              <a:ext cx="908853" cy="900499"/>
            </a:xfrm>
            <a:prstGeom prst="line">
              <a:avLst/>
            </a:prstGeom>
            <a:ln w="9525" cap="flat" cmpd="sng" algn="ctr">
              <a:solidFill>
                <a:schemeClr val="dk1"/>
              </a:solidFill>
              <a:prstDash val="dash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</xdr:cxnSp>
      </xdr:grpSp>
      <xdr:cxnSp macro="">
        <xdr:nvCxnSpPr>
          <xdr:cNvPr id="11" name="Conector recto 10">
            <a:extLst>
              <a:ext uri="{FF2B5EF4-FFF2-40B4-BE49-F238E27FC236}">
                <a16:creationId xmlns:a16="http://schemas.microsoft.com/office/drawing/2014/main" id="{1B10B54E-BB05-1EB7-96C3-8A303EEE8797}"/>
              </a:ext>
            </a:extLst>
          </xdr:cNvPr>
          <xdr:cNvCxnSpPr/>
        </xdr:nvCxnSpPr>
        <xdr:spPr>
          <a:xfrm flipV="1">
            <a:off x="1774618" y="6477000"/>
            <a:ext cx="2511632" cy="1464156"/>
          </a:xfrm>
          <a:prstGeom prst="line">
            <a:avLst/>
          </a:prstGeom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cto de flecha 11">
            <a:extLst>
              <a:ext uri="{FF2B5EF4-FFF2-40B4-BE49-F238E27FC236}">
                <a16:creationId xmlns:a16="http://schemas.microsoft.com/office/drawing/2014/main" id="{8CBB1FAD-B1BA-A3F1-FEEF-AFB2283A47AC}"/>
              </a:ext>
            </a:extLst>
          </xdr:cNvPr>
          <xdr:cNvCxnSpPr/>
        </xdr:nvCxnSpPr>
        <xdr:spPr>
          <a:xfrm>
            <a:off x="1853233" y="6512794"/>
            <a:ext cx="0" cy="478832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Conector recto de flecha 12">
            <a:extLst>
              <a:ext uri="{FF2B5EF4-FFF2-40B4-BE49-F238E27FC236}">
                <a16:creationId xmlns:a16="http://schemas.microsoft.com/office/drawing/2014/main" id="{C6FC1898-AC05-1027-F6A1-11D85CBFF21F}"/>
              </a:ext>
            </a:extLst>
          </xdr:cNvPr>
          <xdr:cNvCxnSpPr/>
        </xdr:nvCxnSpPr>
        <xdr:spPr>
          <a:xfrm>
            <a:off x="1856091" y="7496967"/>
            <a:ext cx="0" cy="321514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" name="Triángulo isósceles 13">
            <a:extLst>
              <a:ext uri="{FF2B5EF4-FFF2-40B4-BE49-F238E27FC236}">
                <a16:creationId xmlns:a16="http://schemas.microsoft.com/office/drawing/2014/main" id="{D6D5B747-FBB7-3DF4-935C-9CF03A4DFA25}"/>
              </a:ext>
            </a:extLst>
          </xdr:cNvPr>
          <xdr:cNvSpPr/>
        </xdr:nvSpPr>
        <xdr:spPr>
          <a:xfrm>
            <a:off x="3888277" y="8645476"/>
            <a:ext cx="450603" cy="366929"/>
          </a:xfrm>
          <a:prstGeom prst="triangle">
            <a:avLst/>
          </a:prstGeom>
          <a:solidFill>
            <a:schemeClr val="accent2">
              <a:lumMod val="50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5" name="Triángulo isósceles 14">
            <a:extLst>
              <a:ext uri="{FF2B5EF4-FFF2-40B4-BE49-F238E27FC236}">
                <a16:creationId xmlns:a16="http://schemas.microsoft.com/office/drawing/2014/main" id="{72040F2F-CFFB-05BA-0CF4-EC75493EB91D}"/>
              </a:ext>
            </a:extLst>
          </xdr:cNvPr>
          <xdr:cNvSpPr/>
        </xdr:nvSpPr>
        <xdr:spPr>
          <a:xfrm>
            <a:off x="4395433" y="8645523"/>
            <a:ext cx="450603" cy="366929"/>
          </a:xfrm>
          <a:prstGeom prst="triangle">
            <a:avLst/>
          </a:prstGeom>
          <a:solidFill>
            <a:schemeClr val="accent2">
              <a:lumMod val="50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6" name="Triángulo isósceles 15">
            <a:extLst>
              <a:ext uri="{FF2B5EF4-FFF2-40B4-BE49-F238E27FC236}">
                <a16:creationId xmlns:a16="http://schemas.microsoft.com/office/drawing/2014/main" id="{A77DCE89-52D0-8388-CF03-1FEA095EC1C4}"/>
              </a:ext>
            </a:extLst>
          </xdr:cNvPr>
          <xdr:cNvSpPr/>
        </xdr:nvSpPr>
        <xdr:spPr>
          <a:xfrm>
            <a:off x="4876512" y="8645525"/>
            <a:ext cx="450603" cy="366929"/>
          </a:xfrm>
          <a:prstGeom prst="triangle">
            <a:avLst/>
          </a:prstGeom>
          <a:solidFill>
            <a:schemeClr val="accent2">
              <a:lumMod val="50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268653</xdr:colOff>
      <xdr:row>1</xdr:row>
      <xdr:rowOff>97692</xdr:rowOff>
    </xdr:from>
    <xdr:to>
      <xdr:col>2</xdr:col>
      <xdr:colOff>232018</xdr:colOff>
      <xdr:row>6</xdr:row>
      <xdr:rowOff>12212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518" y="262548"/>
          <a:ext cx="854808" cy="854808"/>
        </a:xfrm>
        <a:prstGeom prst="rect">
          <a:avLst/>
        </a:prstGeom>
      </xdr:spPr>
    </xdr:pic>
    <xdr:clientData/>
  </xdr:twoCellAnchor>
  <xdr:twoCellAnchor>
    <xdr:from>
      <xdr:col>1</xdr:col>
      <xdr:colOff>699247</xdr:colOff>
      <xdr:row>33</xdr:row>
      <xdr:rowOff>143435</xdr:rowOff>
    </xdr:from>
    <xdr:to>
      <xdr:col>6</xdr:col>
      <xdr:colOff>467195</xdr:colOff>
      <xdr:row>44</xdr:row>
      <xdr:rowOff>111062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E0094FD7-09F6-41C9-8C99-663B7E3082EC}"/>
            </a:ext>
          </a:extLst>
        </xdr:cNvPr>
        <xdr:cNvGrpSpPr/>
      </xdr:nvGrpSpPr>
      <xdr:grpSpPr>
        <a:xfrm>
          <a:off x="957908" y="6106609"/>
          <a:ext cx="3962443" cy="1890104"/>
          <a:chOff x="876207" y="6922285"/>
          <a:chExt cx="4000277" cy="1989620"/>
        </a:xfrm>
      </xdr:grpSpPr>
      <xdr:sp macro="" textlink="">
        <xdr:nvSpPr>
          <xdr:cNvPr id="6" name="Triángulo isósceles 5">
            <a:extLst>
              <a:ext uri="{FF2B5EF4-FFF2-40B4-BE49-F238E27FC236}">
                <a16:creationId xmlns:a16="http://schemas.microsoft.com/office/drawing/2014/main" id="{A846BF8A-1309-E48F-5DEB-4C5590365425}"/>
              </a:ext>
            </a:extLst>
          </xdr:cNvPr>
          <xdr:cNvSpPr/>
        </xdr:nvSpPr>
        <xdr:spPr>
          <a:xfrm>
            <a:off x="876207" y="8620061"/>
            <a:ext cx="332143" cy="284108"/>
          </a:xfrm>
          <a:prstGeom prst="triangle">
            <a:avLst/>
          </a:prstGeom>
          <a:solidFill>
            <a:schemeClr val="accent2">
              <a:lumMod val="50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cxnSp macro="">
        <xdr:nvCxnSpPr>
          <xdr:cNvPr id="7" name="Conector recto 6">
            <a:extLst>
              <a:ext uri="{FF2B5EF4-FFF2-40B4-BE49-F238E27FC236}">
                <a16:creationId xmlns:a16="http://schemas.microsoft.com/office/drawing/2014/main" id="{AD1CE653-F9F2-525F-8ABA-5A8607FAA029}"/>
              </a:ext>
            </a:extLst>
          </xdr:cNvPr>
          <xdr:cNvCxnSpPr>
            <a:stCxn id="6" idx="0"/>
          </xdr:cNvCxnSpPr>
        </xdr:nvCxnSpPr>
        <xdr:spPr>
          <a:xfrm flipV="1">
            <a:off x="1044171" y="6922285"/>
            <a:ext cx="645317" cy="1697776"/>
          </a:xfrm>
          <a:prstGeom prst="line">
            <a:avLst/>
          </a:prstGeom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grpSp>
        <xdr:nvGrpSpPr>
          <xdr:cNvPr id="8" name="Grupo 7">
            <a:extLst>
              <a:ext uri="{FF2B5EF4-FFF2-40B4-BE49-F238E27FC236}">
                <a16:creationId xmlns:a16="http://schemas.microsoft.com/office/drawing/2014/main" id="{25F1D47F-D487-059F-AFF7-855284CFF013}"/>
              </a:ext>
            </a:extLst>
          </xdr:cNvPr>
          <xdr:cNvGrpSpPr/>
        </xdr:nvGrpSpPr>
        <xdr:grpSpPr>
          <a:xfrm>
            <a:off x="1563026" y="7402111"/>
            <a:ext cx="285205" cy="277598"/>
            <a:chOff x="12066494" y="5683623"/>
            <a:chExt cx="582706" cy="582706"/>
          </a:xfrm>
        </xdr:grpSpPr>
        <xdr:sp macro="" textlink="">
          <xdr:nvSpPr>
            <xdr:cNvPr id="29" name="Rectángulo 28">
              <a:extLst>
                <a:ext uri="{FF2B5EF4-FFF2-40B4-BE49-F238E27FC236}">
                  <a16:creationId xmlns:a16="http://schemas.microsoft.com/office/drawing/2014/main" id="{42F9DA4E-838A-184D-2125-F68081B6F752}"/>
                </a:ext>
              </a:extLst>
            </xdr:cNvPr>
            <xdr:cNvSpPr/>
          </xdr:nvSpPr>
          <xdr:spPr>
            <a:xfrm>
              <a:off x="12066494" y="5683623"/>
              <a:ext cx="582706" cy="582706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  <xdr:cxnSp macro="">
          <xdr:nvCxnSpPr>
            <xdr:cNvPr id="30" name="Conector recto 29">
              <a:extLst>
                <a:ext uri="{FF2B5EF4-FFF2-40B4-BE49-F238E27FC236}">
                  <a16:creationId xmlns:a16="http://schemas.microsoft.com/office/drawing/2014/main" id="{46E031A9-0345-79A1-92F0-44695E2BA9A9}"/>
                </a:ext>
              </a:extLst>
            </xdr:cNvPr>
            <xdr:cNvCxnSpPr/>
          </xdr:nvCxnSpPr>
          <xdr:spPr>
            <a:xfrm flipV="1">
              <a:off x="12066494" y="5683624"/>
              <a:ext cx="582706" cy="582705"/>
            </a:xfrm>
            <a:prstGeom prst="line">
              <a:avLst/>
            </a:prstGeom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tx1"/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3551EAA0-ABED-CCB9-6B19-7A2914C92E97}"/>
              </a:ext>
            </a:extLst>
          </xdr:cNvPr>
          <xdr:cNvGrpSpPr/>
        </xdr:nvGrpSpPr>
        <xdr:grpSpPr>
          <a:xfrm>
            <a:off x="3473227" y="7840251"/>
            <a:ext cx="282363" cy="282728"/>
            <a:chOff x="10550861" y="4260924"/>
            <a:chExt cx="583902" cy="588384"/>
          </a:xfrm>
        </xdr:grpSpPr>
        <xdr:sp macro="" textlink="">
          <xdr:nvSpPr>
            <xdr:cNvPr id="27" name="Rectángulo 26">
              <a:extLst>
                <a:ext uri="{FF2B5EF4-FFF2-40B4-BE49-F238E27FC236}">
                  <a16:creationId xmlns:a16="http://schemas.microsoft.com/office/drawing/2014/main" id="{956C2055-0EEA-73DE-0170-1AB2F4478DD6}"/>
                </a:ext>
              </a:extLst>
            </xdr:cNvPr>
            <xdr:cNvSpPr/>
          </xdr:nvSpPr>
          <xdr:spPr>
            <a:xfrm>
              <a:off x="10550861" y="4260924"/>
              <a:ext cx="583902" cy="588384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  <xdr:sp macro="" textlink="">
          <xdr:nvSpPr>
            <xdr:cNvPr id="28" name="Elipse 27">
              <a:extLst>
                <a:ext uri="{FF2B5EF4-FFF2-40B4-BE49-F238E27FC236}">
                  <a16:creationId xmlns:a16="http://schemas.microsoft.com/office/drawing/2014/main" id="{092111D6-BCC5-F772-5685-B6BC87EF989C}"/>
                </a:ext>
              </a:extLst>
            </xdr:cNvPr>
            <xdr:cNvSpPr/>
          </xdr:nvSpPr>
          <xdr:spPr>
            <a:xfrm>
              <a:off x="10559826" y="4269889"/>
              <a:ext cx="565972" cy="570454"/>
            </a:xfrm>
            <a:prstGeom prst="ellipse">
              <a:avLst/>
            </a:prstGeom>
            <a:solidFill>
              <a:schemeClr val="tx1">
                <a:lumMod val="65000"/>
                <a:lumOff val="35000"/>
              </a:schemeClr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</xdr:grpSp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AFC32182-65A5-40C5-8781-10F502FAC111}"/>
              </a:ext>
            </a:extLst>
          </xdr:cNvPr>
          <xdr:cNvGrpSpPr/>
        </xdr:nvGrpSpPr>
        <xdr:grpSpPr>
          <a:xfrm>
            <a:off x="3796805" y="7002346"/>
            <a:ext cx="1079679" cy="987720"/>
            <a:chOff x="16161449" y="4495800"/>
            <a:chExt cx="2213636" cy="2023079"/>
          </a:xfrm>
        </xdr:grpSpPr>
        <xdr:sp macro="" textlink="">
          <xdr:nvSpPr>
            <xdr:cNvPr id="23" name="Triángulo isósceles 22">
              <a:extLst>
                <a:ext uri="{FF2B5EF4-FFF2-40B4-BE49-F238E27FC236}">
                  <a16:creationId xmlns:a16="http://schemas.microsoft.com/office/drawing/2014/main" id="{8FD4C770-2534-80D4-71CC-756C248CA6B3}"/>
                </a:ext>
              </a:extLst>
            </xdr:cNvPr>
            <xdr:cNvSpPr/>
          </xdr:nvSpPr>
          <xdr:spPr>
            <a:xfrm rot="8100000">
              <a:off x="16161449" y="4628115"/>
              <a:ext cx="2213636" cy="1890764"/>
            </a:xfrm>
            <a:prstGeom prst="triangle">
              <a:avLst/>
            </a:prstGeom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  <xdr:cxnSp macro="">
          <xdr:nvCxnSpPr>
            <xdr:cNvPr id="24" name="Conector recto 23">
              <a:extLst>
                <a:ext uri="{FF2B5EF4-FFF2-40B4-BE49-F238E27FC236}">
                  <a16:creationId xmlns:a16="http://schemas.microsoft.com/office/drawing/2014/main" id="{E4D91CE7-D834-1008-A4D8-9D900DD21242}"/>
                </a:ext>
              </a:extLst>
            </xdr:cNvPr>
            <xdr:cNvCxnSpPr/>
          </xdr:nvCxnSpPr>
          <xdr:spPr>
            <a:xfrm flipV="1">
              <a:off x="16193604" y="4495800"/>
              <a:ext cx="1341728" cy="1329390"/>
            </a:xfrm>
            <a:prstGeom prst="line">
              <a:avLst/>
            </a:prstGeom>
            <a:ln w="9525" cap="flat" cmpd="sng" algn="ctr">
              <a:solidFill>
                <a:schemeClr val="dk1"/>
              </a:solidFill>
              <a:prstDash val="dash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</xdr:cxnSp>
        <xdr:cxnSp macro="">
          <xdr:nvCxnSpPr>
            <xdr:cNvPr id="25" name="Conector recto 24">
              <a:extLst>
                <a:ext uri="{FF2B5EF4-FFF2-40B4-BE49-F238E27FC236}">
                  <a16:creationId xmlns:a16="http://schemas.microsoft.com/office/drawing/2014/main" id="{ADE20B1A-1F33-9BD3-A736-44D63552CC32}"/>
                </a:ext>
              </a:extLst>
            </xdr:cNvPr>
            <xdr:cNvCxnSpPr/>
          </xdr:nvCxnSpPr>
          <xdr:spPr>
            <a:xfrm flipV="1">
              <a:off x="16742954" y="5050971"/>
              <a:ext cx="978456" cy="969460"/>
            </a:xfrm>
            <a:prstGeom prst="line">
              <a:avLst/>
            </a:prstGeom>
            <a:ln w="9525" cap="flat" cmpd="sng" algn="ctr">
              <a:solidFill>
                <a:schemeClr val="dk1"/>
              </a:solidFill>
              <a:prstDash val="dash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</xdr:cxnSp>
        <xdr:cxnSp macro="">
          <xdr:nvCxnSpPr>
            <xdr:cNvPr id="26" name="Conector recto 25">
              <a:extLst>
                <a:ext uri="{FF2B5EF4-FFF2-40B4-BE49-F238E27FC236}">
                  <a16:creationId xmlns:a16="http://schemas.microsoft.com/office/drawing/2014/main" id="{E0D8C9A2-EDF2-16D5-E792-38F440412925}"/>
                </a:ext>
              </a:extLst>
            </xdr:cNvPr>
            <xdr:cNvCxnSpPr/>
          </xdr:nvCxnSpPr>
          <xdr:spPr>
            <a:xfrm flipV="1">
              <a:off x="17350030" y="5632452"/>
              <a:ext cx="600725" cy="595202"/>
            </a:xfrm>
            <a:prstGeom prst="line">
              <a:avLst/>
            </a:prstGeom>
            <a:ln w="9525" cap="flat" cmpd="sng" algn="ctr">
              <a:solidFill>
                <a:schemeClr val="dk1"/>
              </a:solidFill>
              <a:prstDash val="dash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</xdr:cxnSp>
      </xdr:grpSp>
      <xdr:cxnSp macro="">
        <xdr:nvCxnSpPr>
          <xdr:cNvPr id="11" name="Conector recto 10">
            <a:extLst>
              <a:ext uri="{FF2B5EF4-FFF2-40B4-BE49-F238E27FC236}">
                <a16:creationId xmlns:a16="http://schemas.microsoft.com/office/drawing/2014/main" id="{2B52C755-E16F-2033-27E5-34E4A6E5EFC7}"/>
              </a:ext>
            </a:extLst>
          </xdr:cNvPr>
          <xdr:cNvCxnSpPr/>
        </xdr:nvCxnSpPr>
        <xdr:spPr>
          <a:xfrm flipV="1">
            <a:off x="1641536" y="7092222"/>
            <a:ext cx="2231738" cy="969633"/>
          </a:xfrm>
          <a:prstGeom prst="line">
            <a:avLst/>
          </a:prstGeom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cto de flecha 11">
            <a:extLst>
              <a:ext uri="{FF2B5EF4-FFF2-40B4-BE49-F238E27FC236}">
                <a16:creationId xmlns:a16="http://schemas.microsoft.com/office/drawing/2014/main" id="{3D9CF034-F6DA-411E-D420-4A8B5DDC1FA3}"/>
              </a:ext>
            </a:extLst>
          </xdr:cNvPr>
          <xdr:cNvCxnSpPr/>
        </xdr:nvCxnSpPr>
        <xdr:spPr>
          <a:xfrm>
            <a:off x="1700144" y="6965426"/>
            <a:ext cx="0" cy="367608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Conector recto de flecha 12">
            <a:extLst>
              <a:ext uri="{FF2B5EF4-FFF2-40B4-BE49-F238E27FC236}">
                <a16:creationId xmlns:a16="http://schemas.microsoft.com/office/drawing/2014/main" id="{3D5FBCCE-6DDF-8D6C-6158-FE73079F7B96}"/>
              </a:ext>
            </a:extLst>
          </xdr:cNvPr>
          <xdr:cNvCxnSpPr/>
        </xdr:nvCxnSpPr>
        <xdr:spPr>
          <a:xfrm>
            <a:off x="1702274" y="7716972"/>
            <a:ext cx="0" cy="248383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Conector recto de flecha 13">
            <a:extLst>
              <a:ext uri="{FF2B5EF4-FFF2-40B4-BE49-F238E27FC236}">
                <a16:creationId xmlns:a16="http://schemas.microsoft.com/office/drawing/2014/main" id="{BD4674B7-276E-00D5-C6E1-4B750D87BFEC}"/>
              </a:ext>
            </a:extLst>
          </xdr:cNvPr>
          <xdr:cNvCxnSpPr/>
        </xdr:nvCxnSpPr>
        <xdr:spPr>
          <a:xfrm flipH="1">
            <a:off x="3659305" y="7655609"/>
            <a:ext cx="97559" cy="136555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Conector recto 14">
            <a:extLst>
              <a:ext uri="{FF2B5EF4-FFF2-40B4-BE49-F238E27FC236}">
                <a16:creationId xmlns:a16="http://schemas.microsoft.com/office/drawing/2014/main" id="{882E4807-56C8-ADFE-9D6F-E647EC75123D}"/>
              </a:ext>
            </a:extLst>
          </xdr:cNvPr>
          <xdr:cNvCxnSpPr/>
        </xdr:nvCxnSpPr>
        <xdr:spPr>
          <a:xfrm>
            <a:off x="1817360" y="7799234"/>
            <a:ext cx="1837467" cy="647039"/>
          </a:xfrm>
          <a:prstGeom prst="line">
            <a:avLst/>
          </a:prstGeom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Conector recto de flecha 15">
            <a:extLst>
              <a:ext uri="{FF2B5EF4-FFF2-40B4-BE49-F238E27FC236}">
                <a16:creationId xmlns:a16="http://schemas.microsoft.com/office/drawing/2014/main" id="{DB0F0727-38C1-720D-53BA-AB89C21DE908}"/>
              </a:ext>
            </a:extLst>
          </xdr:cNvPr>
          <xdr:cNvCxnSpPr/>
        </xdr:nvCxnSpPr>
        <xdr:spPr>
          <a:xfrm>
            <a:off x="3622859" y="8155465"/>
            <a:ext cx="10970" cy="215402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" name="Triángulo isósceles 16">
            <a:extLst>
              <a:ext uri="{FF2B5EF4-FFF2-40B4-BE49-F238E27FC236}">
                <a16:creationId xmlns:a16="http://schemas.microsoft.com/office/drawing/2014/main" id="{23A744AA-B2E5-6E20-71A3-C5A983648031}"/>
              </a:ext>
            </a:extLst>
          </xdr:cNvPr>
          <xdr:cNvSpPr/>
        </xdr:nvSpPr>
        <xdr:spPr>
          <a:xfrm>
            <a:off x="3717195" y="8627758"/>
            <a:ext cx="335927" cy="284108"/>
          </a:xfrm>
          <a:prstGeom prst="triangle">
            <a:avLst/>
          </a:prstGeom>
          <a:solidFill>
            <a:schemeClr val="accent2">
              <a:lumMod val="50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8" name="Triángulo isósceles 17">
            <a:extLst>
              <a:ext uri="{FF2B5EF4-FFF2-40B4-BE49-F238E27FC236}">
                <a16:creationId xmlns:a16="http://schemas.microsoft.com/office/drawing/2014/main" id="{EAB3071F-4AAB-E741-648E-A65F0C00EF46}"/>
              </a:ext>
            </a:extLst>
          </xdr:cNvPr>
          <xdr:cNvSpPr/>
        </xdr:nvSpPr>
        <xdr:spPr>
          <a:xfrm>
            <a:off x="4052677" y="8627795"/>
            <a:ext cx="335927" cy="284108"/>
          </a:xfrm>
          <a:prstGeom prst="triangle">
            <a:avLst/>
          </a:prstGeom>
          <a:solidFill>
            <a:schemeClr val="accent2">
              <a:lumMod val="50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9" name="Triángulo isósceles 18">
            <a:extLst>
              <a:ext uri="{FF2B5EF4-FFF2-40B4-BE49-F238E27FC236}">
                <a16:creationId xmlns:a16="http://schemas.microsoft.com/office/drawing/2014/main" id="{C0E9903F-63AF-517E-4F9A-3E60BD382772}"/>
              </a:ext>
            </a:extLst>
          </xdr:cNvPr>
          <xdr:cNvSpPr/>
        </xdr:nvSpPr>
        <xdr:spPr>
          <a:xfrm>
            <a:off x="4382920" y="8627797"/>
            <a:ext cx="332144" cy="284108"/>
          </a:xfrm>
          <a:prstGeom prst="triangle">
            <a:avLst/>
          </a:prstGeom>
          <a:solidFill>
            <a:schemeClr val="accent2">
              <a:lumMod val="50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cxnSp macro="">
        <xdr:nvCxnSpPr>
          <xdr:cNvPr id="20" name="Conector recto de flecha 19">
            <a:extLst>
              <a:ext uri="{FF2B5EF4-FFF2-40B4-BE49-F238E27FC236}">
                <a16:creationId xmlns:a16="http://schemas.microsoft.com/office/drawing/2014/main" id="{3FC360B6-A272-29A2-C9DC-3D3F53115843}"/>
              </a:ext>
            </a:extLst>
          </xdr:cNvPr>
          <xdr:cNvCxnSpPr/>
        </xdr:nvCxnSpPr>
        <xdr:spPr>
          <a:xfrm>
            <a:off x="3923891" y="7944637"/>
            <a:ext cx="0" cy="626485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Conector recto de flecha 20">
            <a:extLst>
              <a:ext uri="{FF2B5EF4-FFF2-40B4-BE49-F238E27FC236}">
                <a16:creationId xmlns:a16="http://schemas.microsoft.com/office/drawing/2014/main" id="{A15D1F01-9DD1-0E70-F725-C296CD61CAA0}"/>
              </a:ext>
            </a:extLst>
          </xdr:cNvPr>
          <xdr:cNvCxnSpPr/>
        </xdr:nvCxnSpPr>
        <xdr:spPr>
          <a:xfrm>
            <a:off x="4227587" y="7955541"/>
            <a:ext cx="0" cy="626485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Conector recto de flecha 21">
            <a:extLst>
              <a:ext uri="{FF2B5EF4-FFF2-40B4-BE49-F238E27FC236}">
                <a16:creationId xmlns:a16="http://schemas.microsoft.com/office/drawing/2014/main" id="{77615AA2-24CC-3820-1FD2-8745AE5C750E}"/>
              </a:ext>
            </a:extLst>
          </xdr:cNvPr>
          <xdr:cNvCxnSpPr/>
        </xdr:nvCxnSpPr>
        <xdr:spPr>
          <a:xfrm>
            <a:off x="4532828" y="7944638"/>
            <a:ext cx="0" cy="626485"/>
          </a:xfrm>
          <a:prstGeom prst="straightConnector1">
            <a:avLst/>
          </a:prstGeom>
          <a:ln>
            <a:solidFill>
              <a:schemeClr val="accent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148590</xdr:colOff>
      <xdr:row>20</xdr:row>
      <xdr:rowOff>30480</xdr:rowOff>
    </xdr:from>
    <xdr:ext cx="1463221" cy="5217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6137910" y="739140"/>
              <a:ext cx="1463221" cy="5217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AR" sz="14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=</m:t>
                        </m:r>
                        <m:f>
                          <m:f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func>
                                  <m:func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uncPr>
                                  <m:fName>
                                    <m:r>
                                      <m:rPr>
                                        <m:sty m:val="p"/>
                                      </m:rPr>
                                      <a:rPr lang="en-US" sz="1400" b="0" i="0">
                                        <a:latin typeface="Cambria Math" panose="02040503050406030204" pitchFamily="18" charset="0"/>
                                      </a:rPr>
                                      <m:t>max</m:t>
                                    </m:r>
                                  </m:fName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𝑒𝑛𝑡𝑟𝑎𝑑𝑎</m:t>
                                    </m:r>
                                  </m:e>
                                </m:func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func>
                                  <m:func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uncPr>
                                  <m:fName>
                                    <m:r>
                                      <m:rPr>
                                        <m:sty m:val="p"/>
                                      </m:rPr>
                                      <a:rPr lang="en-US" sz="1400" b="0" i="0">
                                        <a:latin typeface="Cambria Math" panose="02040503050406030204" pitchFamily="18" charset="0"/>
                                      </a:rPr>
                                      <m:t>max</m:t>
                                    </m:r>
                                  </m:fName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𝑠𝑎𝑙𝑖𝑑𝑎</m:t>
                                    </m:r>
                                  </m:e>
                                </m:func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33A9F97A-8DA1-48BB-9E66-05AC13840044}"/>
                </a:ext>
              </a:extLst>
            </xdr:cNvPr>
            <xdr:cNvSpPr txBox="1"/>
          </xdr:nvSpPr>
          <xdr:spPr>
            <a:xfrm>
              <a:off x="6137910" y="739140"/>
              <a:ext cx="1463221" cy="5217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AR" sz="1400" i="0">
                  <a:latin typeface="Cambria Math" panose="02040503050406030204" pitchFamily="18" charset="0"/>
                </a:rPr>
                <a:t>∑</a:t>
              </a:r>
              <a:r>
                <a:rPr lang="en-US" sz="1400" b="0" i="0">
                  <a:latin typeface="Cambria Math" panose="02040503050406030204" pitchFamily="18" charset="0"/>
                </a:rPr>
                <a:t>▒</a:t>
              </a:r>
              <a:r>
                <a:rPr lang="es-AR" sz="1400" b="0" i="0">
                  <a:latin typeface="Cambria Math" panose="02040503050406030204" pitchFamily="18" charset="0"/>
                </a:rPr>
                <a:t>〖</a:t>
              </a:r>
              <a:r>
                <a:rPr lang="en-US" sz="1400" b="0" i="0">
                  <a:latin typeface="Cambria Math" panose="02040503050406030204" pitchFamily="18" charset="0"/>
                </a:rPr>
                <a:t>=𝐷_max⁡𝑒𝑛𝑡𝑟𝑎𝑑𝑎 /𝐷_max⁡𝑠𝑎𝑙𝑖𝑑𝑎  </a:t>
              </a:r>
              <a:r>
                <a:rPr lang="es-AR" sz="1400" b="0" i="0">
                  <a:latin typeface="Cambria Math" panose="02040503050406030204" pitchFamily="18" charset="0"/>
                </a:rPr>
                <a:t>〗</a:t>
              </a:r>
              <a:endParaRPr lang="es-AR" sz="1100"/>
            </a:p>
          </xdr:txBody>
        </xdr:sp>
      </mc:Fallback>
    </mc:AlternateContent>
    <xdr:clientData/>
  </xdr:oneCellAnchor>
  <xdr:twoCellAnchor>
    <xdr:from>
      <xdr:col>22</xdr:col>
      <xdr:colOff>493059</xdr:colOff>
      <xdr:row>29</xdr:row>
      <xdr:rowOff>56808</xdr:rowOff>
    </xdr:from>
    <xdr:to>
      <xdr:col>31</xdr:col>
      <xdr:colOff>638736</xdr:colOff>
      <xdr:row>43</xdr:row>
      <xdr:rowOff>187436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80682</xdr:rowOff>
    </xdr:from>
    <xdr:to>
      <xdr:col>14</xdr:col>
      <xdr:colOff>304800</xdr:colOff>
      <xdr:row>15</xdr:row>
      <xdr:rowOff>95922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85165</xdr:colOff>
      <xdr:row>15</xdr:row>
      <xdr:rowOff>121023</xdr:rowOff>
    </xdr:from>
    <xdr:to>
      <xdr:col>19</xdr:col>
      <xdr:colOff>448235</xdr:colOff>
      <xdr:row>30</xdr:row>
      <xdr:rowOff>170329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Curvas_gran_graf_1" displayName="Curvas_gran_graf_1" ref="A3:H14" totalsRowShown="0" headerRowDxfId="203" dataDxfId="201" headerRowBorderDxfId="202" tableBorderDxfId="200" totalsRowBorderDxfId="199">
  <autoFilter ref="A3:H14" xr:uid="{00000000-0009-0000-0100-000009000000}"/>
  <tableColumns count="8">
    <tableColumn id="1" xr3:uid="{00000000-0010-0000-0000-000001000000}" name="Porcentaje pasante" dataDxfId="198"/>
    <tableColumn id="2" xr3:uid="{00000000-0010-0000-0000-000002000000}" name="1/2" dataDxfId="197"/>
    <tableColumn id="3" xr3:uid="{00000000-0010-0000-0000-000003000000}" name="1    " dataDxfId="196"/>
    <tableColumn id="4" xr3:uid="{00000000-0010-0000-0000-000004000000}" name="1 1/2" dataDxfId="195"/>
    <tableColumn id="5" xr3:uid="{00000000-0010-0000-0000-000005000000}" name="2    " dataDxfId="194"/>
    <tableColumn id="6" xr3:uid="{00000000-0010-0000-0000-000006000000}" name="2 1/2" dataDxfId="193"/>
    <tableColumn id="7" xr3:uid="{00000000-0010-0000-0000-000007000000}" name="3    " dataDxfId="192"/>
    <tableColumn id="8" xr3:uid="{00000000-0010-0000-0000-000008000000}" name="3 1/2" dataDxfId="191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Curvas_gran_graf_2" displayName="Curvas_gran_graf_2" ref="A19:N30" totalsRowShown="0" headerRowDxfId="190" dataDxfId="189" tableBorderDxfId="188">
  <autoFilter ref="A19:N30" xr:uid="{00000000-0009-0000-0100-00000A000000}"/>
  <tableColumns count="14">
    <tableColumn id="1" xr3:uid="{00000000-0010-0000-0100-000001000000}" name="Porcentaje pasante" dataDxfId="187"/>
    <tableColumn id="2" xr3:uid="{00000000-0010-0000-0100-000002000000}" name="2    " dataDxfId="186"/>
    <tableColumn id="3" xr3:uid="{00000000-0010-0000-0100-000003000000}" name="2 1/2" dataDxfId="185"/>
    <tableColumn id="4" xr3:uid="{00000000-0010-0000-0100-000004000000}" name="3    " dataDxfId="184"/>
    <tableColumn id="5" xr3:uid="{00000000-0010-0000-0100-000005000000}" name="3 1/2" dataDxfId="183"/>
    <tableColumn id="6" xr3:uid="{00000000-0010-0000-0100-000006000000}" name="4    " dataDxfId="182"/>
    <tableColumn id="7" xr3:uid="{00000000-0010-0000-0100-000007000000}" name="5    " dataDxfId="181"/>
    <tableColumn id="8" xr3:uid="{00000000-0010-0000-0100-000008000000}" name="6    " dataDxfId="180"/>
    <tableColumn id="9" xr3:uid="{00000000-0010-0000-0100-000009000000}" name="7    " dataDxfId="179"/>
    <tableColumn id="10" xr3:uid="{00000000-0010-0000-0100-00000A000000}" name="8    " dataDxfId="178"/>
    <tableColumn id="11" xr3:uid="{00000000-0010-0000-0100-00000B000000}" name="9    " dataDxfId="177"/>
    <tableColumn id="12" xr3:uid="{00000000-0010-0000-0100-00000C000000}" name="10    " dataDxfId="176"/>
    <tableColumn id="13" xr3:uid="{00000000-0010-0000-0100-00000D000000}" name="11    " dataDxfId="175"/>
    <tableColumn id="14" xr3:uid="{00000000-0010-0000-0100-00000E000000}" name="12    " dataDxfId="174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2000000}" name="Tabla18" displayName="Tabla18" ref="A3:H15" totalsRowShown="0" headerRowDxfId="173" dataDxfId="171" headerRowBorderDxfId="172" tableBorderDxfId="170">
  <autoFilter ref="A3:H15" xr:uid="{00000000-0009-0000-0100-000012000000}"/>
  <tableColumns count="8">
    <tableColumn id="1" xr3:uid="{00000000-0010-0000-0200-000001000000}" name="% pasante" dataDxfId="169"/>
    <tableColumn id="2" xr3:uid="{00000000-0010-0000-0200-000002000000}" name="Columna1" dataDxfId="168"/>
    <tableColumn id="3" xr3:uid="{00000000-0010-0000-0200-000003000000}" name="Columna2" dataDxfId="167"/>
    <tableColumn id="4" xr3:uid="{00000000-0010-0000-0200-000004000000}" name="Columna3" dataDxfId="166"/>
    <tableColumn id="5" xr3:uid="{00000000-0010-0000-0200-000005000000}" name="Columna4" dataDxfId="165"/>
    <tableColumn id="6" xr3:uid="{00000000-0010-0000-0200-000006000000}" name="Columna5" dataDxfId="164"/>
    <tableColumn id="7" xr3:uid="{00000000-0010-0000-0200-000007000000}" name="Columna6" dataDxfId="163"/>
    <tableColumn id="8" xr3:uid="{00000000-0010-0000-0200-000008000000}" name="Columna7" dataDxfId="16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3000000}" name="C.granul.max.g3" displayName="C.granul.max.g3" ref="J7:M14" totalsRowShown="0">
  <autoFilter ref="J7:M14" xr:uid="{00000000-0009-0000-0100-000013000000}"/>
  <tableColumns count="4">
    <tableColumn id="1" xr3:uid="{00000000-0010-0000-0300-000001000000}" name="100%" dataDxfId="161"/>
    <tableColumn id="2" xr3:uid="{00000000-0010-0000-0300-000002000000}" name="@" dataDxfId="160"/>
    <tableColumn id="3" xr3:uid="{00000000-0010-0000-0300-000003000000}" name="Grafico"/>
    <tableColumn id="4" xr3:uid="{00000000-0010-0000-0300-000004000000}" name="Columna1" dataDxfId="159">
      <calculatedColumnFormula>+C.granul.max.g3[[#This Row],[@]]+1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4000000}" name="C.granul.max.g4" displayName="C.granul.max.g4" ref="K19:N27" totalsRowShown="0">
  <autoFilter ref="K19:N27" xr:uid="{00000000-0009-0000-0100-000014000000}"/>
  <tableColumns count="4">
    <tableColumn id="1" xr3:uid="{00000000-0010-0000-0400-000001000000}" name="100%" dataDxfId="158"/>
    <tableColumn id="2" xr3:uid="{00000000-0010-0000-0400-000002000000}" name="@" dataDxfId="157"/>
    <tableColumn id="3" xr3:uid="{00000000-0010-0000-0400-000003000000}" name="Grafico"/>
    <tableColumn id="4" xr3:uid="{00000000-0010-0000-0400-000004000000}" name="Columna1" dataDxfId="156">
      <calculatedColumnFormula>+C.granul.max.g4[[#This Row],[@]]+1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5000000}" name="C.granul.max.g5" displayName="C.granul.max.g5" ref="M36:P46" totalsRowShown="0">
  <autoFilter ref="M36:P46" xr:uid="{00000000-0009-0000-0100-000015000000}"/>
  <tableColumns count="4">
    <tableColumn id="1" xr3:uid="{00000000-0010-0000-0500-000001000000}" name="100%" dataDxfId="155"/>
    <tableColumn id="2" xr3:uid="{00000000-0010-0000-0500-000002000000}" name="@" dataDxfId="154"/>
    <tableColumn id="3" xr3:uid="{00000000-0010-0000-0500-000003000000}" name="Columna1"/>
    <tableColumn id="4" xr3:uid="{00000000-0010-0000-0500-000004000000}" name="Columna2" dataDxfId="153">
      <calculatedColumnFormula>+C.granul.max.g5[[#This Row],[@]]+1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6000000}" name="C.granul.max.g6" displayName="C.granul.max.g6" ref="N51:Q62" totalsRowShown="0">
  <autoFilter ref="N51:Q62" xr:uid="{00000000-0009-0000-0100-000016000000}"/>
  <tableColumns count="4">
    <tableColumn id="1" xr3:uid="{00000000-0010-0000-0600-000001000000}" name="100%" dataDxfId="152"/>
    <tableColumn id="2" xr3:uid="{00000000-0010-0000-0600-000002000000}" name="@" dataDxfId="151"/>
    <tableColumn id="3" xr3:uid="{00000000-0010-0000-0600-000003000000}" name="Columna1"/>
    <tableColumn id="4" xr3:uid="{00000000-0010-0000-0600-000004000000}" name="Columna2" dataDxfId="150">
      <calculatedColumnFormula>+C.granul.max.g6[[#This Row],[@]]+1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a7" displayName="Tabla7" ref="A2:AJ19" totalsRowShown="0" headerRowDxfId="149" dataDxfId="148" tableBorderDxfId="147">
  <autoFilter ref="A2:AJ19" xr:uid="{00000000-0009-0000-0100-000007000000}"/>
  <tableColumns count="36">
    <tableColumn id="1" xr3:uid="{00000000-0010-0000-0700-000001000000}" name="@" dataDxfId="146"/>
    <tableColumn id="2" xr3:uid="{00000000-0010-0000-0700-000002000000}" name="Duro " dataDxfId="145"/>
    <tableColumn id="3" xr3:uid="{00000000-0010-0000-0700-000003000000}" name="Medio" dataDxfId="144"/>
    <tableColumn id="4" xr3:uid="{00000000-0010-0000-0700-000004000000}" name="Blando" dataDxfId="143"/>
    <tableColumn id="5" xr3:uid="{00000000-0010-0000-0700-000005000000}" name="Duro 2" dataDxfId="142"/>
    <tableColumn id="6" xr3:uid="{00000000-0010-0000-0700-000006000000}" name="Medio    3" dataDxfId="141"/>
    <tableColumn id="7" xr3:uid="{00000000-0010-0000-0700-000007000000}" name="Blando   4" dataDxfId="140"/>
    <tableColumn id="32" xr3:uid="{00000000-0010-0000-0700-000020000000}" name="Blando   5" dataDxfId="139"/>
    <tableColumn id="36" xr3:uid="{00000000-0010-0000-0700-000024000000}" name="Blando   6" dataDxfId="138"/>
    <tableColumn id="8" xr3:uid="{00000000-0010-0000-0700-000008000000}" name="Duro             5" dataDxfId="137"/>
    <tableColumn id="9" xr3:uid="{00000000-0010-0000-0700-000009000000}" name="Medio  6" dataDxfId="136"/>
    <tableColumn id="10" xr3:uid="{00000000-0010-0000-0700-00000A000000}" name="Blando   7" dataDxfId="135"/>
    <tableColumn id="11" xr3:uid="{00000000-0010-0000-0700-00000B000000}" name="Duro   8" dataDxfId="134"/>
    <tableColumn id="12" xr3:uid="{00000000-0010-0000-0700-00000C000000}" name="Medio   9" dataDxfId="133"/>
    <tableColumn id="13" xr3:uid="{00000000-0010-0000-0700-00000D000000}" name="Blando    10" dataDxfId="132"/>
    <tableColumn id="33" xr3:uid="{00000000-0010-0000-0700-000021000000}" name="Blando    11" dataDxfId="131"/>
    <tableColumn id="14" xr3:uid="{00000000-0010-0000-0700-00000E000000}" name="Duro     11" dataDxfId="130"/>
    <tableColumn id="15" xr3:uid="{00000000-0010-0000-0700-00000F000000}" name="Medio     12" dataDxfId="129"/>
    <tableColumn id="16" xr3:uid="{00000000-0010-0000-0700-000010000000}" name="Blando     13" dataDxfId="128"/>
    <tableColumn id="17" xr3:uid="{00000000-0010-0000-0700-000011000000}" name="Duro      14" dataDxfId="127"/>
    <tableColumn id="18" xr3:uid="{00000000-0010-0000-0700-000012000000}" name="Medio    15" dataDxfId="126"/>
    <tableColumn id="19" xr3:uid="{00000000-0010-0000-0700-000013000000}" name="Blando    16" dataDxfId="125"/>
    <tableColumn id="20" xr3:uid="{00000000-0010-0000-0700-000014000000}" name="Duro     17" dataDxfId="124"/>
    <tableColumn id="21" xr3:uid="{00000000-0010-0000-0700-000015000000}" name="Medio     18" dataDxfId="123"/>
    <tableColumn id="34" xr3:uid="{00000000-0010-0000-0700-000022000000}" name="Medio     19" dataDxfId="122"/>
    <tableColumn id="22" xr3:uid="{00000000-0010-0000-0700-000016000000}" name="Blando    19" dataDxfId="121"/>
    <tableColumn id="23" xr3:uid="{00000000-0010-0000-0700-000017000000}" name="Duro     20" dataDxfId="120"/>
    <tableColumn id="24" xr3:uid="{00000000-0010-0000-0700-000018000000}" name="Medio    21" dataDxfId="119"/>
    <tableColumn id="25" xr3:uid="{00000000-0010-0000-0700-000019000000}" name="Blando     22" dataDxfId="118"/>
    <tableColumn id="26" xr3:uid="{00000000-0010-0000-0700-00001A000000}" name="Duro     23" dataDxfId="117"/>
    <tableColumn id="27" xr3:uid="{00000000-0010-0000-0700-00001B000000}" name="Medio     24" dataDxfId="116"/>
    <tableColumn id="35" xr3:uid="{00000000-0010-0000-0700-000023000000}" name="Medio     25" dataDxfId="115"/>
    <tableColumn id="28" xr3:uid="{00000000-0010-0000-0700-00001C000000}" name="Blando     25" dataDxfId="114"/>
    <tableColumn id="29" xr3:uid="{00000000-0010-0000-0700-00001D000000}" name="Duro      26" dataDxfId="113"/>
    <tableColumn id="30" xr3:uid="{00000000-0010-0000-0700-00001E000000}" name="Medio      27" dataDxfId="112"/>
    <tableColumn id="31" xr3:uid="{00000000-0010-0000-0700-00001F000000}" name="Blando      28" dataDxfId="111"/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Q_Mandibula1_Duro" displayName="Q_Mandibula1_Duro" ref="A25:I42" totalsRowShown="0" headerRowDxfId="110" dataDxfId="109" tableBorderDxfId="108">
  <autoFilter ref="A25:I42" xr:uid="{00000000-0009-0000-0100-00000C000000}"/>
  <tableColumns count="9">
    <tableColumn id="1" xr3:uid="{00000000-0010-0000-0800-000001000000}" name="@" dataDxfId="107"/>
    <tableColumn id="2" xr3:uid="{00000000-0010-0000-0800-000002000000}" name="10x16" dataDxfId="106"/>
    <tableColumn id="3" xr3:uid="{00000000-0010-0000-0800-000003000000}" name="10x21" dataDxfId="105"/>
    <tableColumn id="4" xr3:uid="{00000000-0010-0000-0800-000004000000}" name="10x30" dataDxfId="104"/>
    <tableColumn id="5" xr3:uid="{00000000-0010-0000-0800-000005000000}" name="15x24" dataDxfId="103"/>
    <tableColumn id="6" xr3:uid="{00000000-0010-0000-0800-000006000000}" name="12x36" dataDxfId="102"/>
    <tableColumn id="7" xr3:uid="{00000000-0010-0000-0800-000007000000}" name="15x38" dataDxfId="101"/>
    <tableColumn id="8" xr3:uid="{00000000-0010-0000-0800-000008000000}" name="max" dataDxfId="100">
      <calculatedColumnFormula>+MAX(Q_Mandibula1_Duro[[#This Row],[10x16]:[15x38]])</calculatedColumnFormula>
    </tableColumn>
    <tableColumn id="9" xr3:uid="{00000000-0010-0000-0800-000009000000}" name="min" dataDxfId="99">
      <calculatedColumnFormula>+IF(Q_Mandibula1_Duro[[#This Row],[max]]&gt;DimensionadorTrit!$C$6,MIN((Q_Mandibula1_Duro[[#This Row],[10x16]]-DimensionadorTrit!$C$6)^2),"NO")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Q_Mandibula2_Duro" displayName="Q_Mandibula2_Duro" ref="K25:P42" totalsRowShown="0" headerRowDxfId="98" tableBorderDxfId="97">
  <autoFilter ref="K25:P42" xr:uid="{00000000-0009-0000-0100-00000D000000}"/>
  <tableColumns count="6">
    <tableColumn id="1" xr3:uid="{00000000-0010-0000-0900-000001000000}" name="@" dataDxfId="96"/>
    <tableColumn id="2" xr3:uid="{00000000-0010-0000-0900-000002000000}" name="20x36" dataDxfId="95"/>
    <tableColumn id="3" xr3:uid="{00000000-0010-0000-0900-000003000000}" name="25x40" dataDxfId="94"/>
    <tableColumn id="4" xr3:uid="{00000000-0010-0000-0900-000004000000}" name="30x42" dataDxfId="93"/>
    <tableColumn id="5" xr3:uid="{00000000-0010-0000-0900-000005000000}" name="42x48" dataDxfId="92"/>
    <tableColumn id="6" xr3:uid="{00000000-0010-0000-0900-000006000000}" name="max" dataDxfId="91">
      <calculatedColumnFormula>+MAX(Q_Mandibula2_Duro[[#This Row],[20x36]:[42x48]])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A000000}" name="Q_Mandibula1_medio" displayName="Q_Mandibula1_medio" ref="R25:Y42" totalsRowShown="0" headerRowDxfId="90" dataDxfId="89" tableBorderDxfId="88">
  <autoFilter ref="R25:Y42" xr:uid="{00000000-0009-0000-0100-00000E000000}"/>
  <tableColumns count="8">
    <tableColumn id="1" xr3:uid="{00000000-0010-0000-0A00-000001000000}" name="@" dataDxfId="87"/>
    <tableColumn id="2" xr3:uid="{00000000-0010-0000-0A00-000002000000}" name="10x16" dataDxfId="86"/>
    <tableColumn id="3" xr3:uid="{00000000-0010-0000-0A00-000003000000}" name="10x21" dataDxfId="85"/>
    <tableColumn id="4" xr3:uid="{00000000-0010-0000-0A00-000004000000}" name="10x30" dataDxfId="84"/>
    <tableColumn id="5" xr3:uid="{00000000-0010-0000-0A00-000005000000}" name="15x24" dataDxfId="83"/>
    <tableColumn id="6" xr3:uid="{00000000-0010-0000-0A00-000006000000}" name="12x36" dataDxfId="82"/>
    <tableColumn id="7" xr3:uid="{00000000-0010-0000-0A00-000007000000}" name="15x38" dataDxfId="81"/>
    <tableColumn id="8" xr3:uid="{00000000-0010-0000-0A00-000008000000}" name="max" dataDxfId="80">
      <calculatedColumnFormula>+MAX(Q_Mandibula1_medio[[#This Row],[10x16]:[15x38]])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B000000}" name="Q_Mandibula2_medio" displayName="Q_Mandibula2_medio" ref="AA25:AF42" totalsRowShown="0" headerRowDxfId="79" dataDxfId="78" tableBorderDxfId="77">
  <autoFilter ref="AA25:AF42" xr:uid="{00000000-0009-0000-0100-00000F000000}"/>
  <tableColumns count="6">
    <tableColumn id="1" xr3:uid="{00000000-0010-0000-0B00-000001000000}" name="@" dataDxfId="76"/>
    <tableColumn id="2" xr3:uid="{00000000-0010-0000-0B00-000002000000}" name="20x36" dataDxfId="75"/>
    <tableColumn id="3" xr3:uid="{00000000-0010-0000-0B00-000003000000}" name="25x40" dataDxfId="74"/>
    <tableColumn id="4" xr3:uid="{00000000-0010-0000-0B00-000004000000}" name="30x42" dataDxfId="73"/>
    <tableColumn id="5" xr3:uid="{00000000-0010-0000-0B00-000005000000}" name="42x48" dataDxfId="72"/>
    <tableColumn id="6" xr3:uid="{00000000-0010-0000-0B00-000006000000}" name="42x49" dataDxfId="71">
      <calculatedColumnFormula>+MAX(Q_Mandibula2_medio[[#This Row],[20x36]:[42x48]])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C000000}" name="Q_Mandibula1_blando" displayName="Q_Mandibula1_blando" ref="AH25:AO41" totalsRowShown="0" headerRowDxfId="70" dataDxfId="69" tableBorderDxfId="68">
  <autoFilter ref="AH25:AO41" xr:uid="{00000000-0009-0000-0100-000010000000}"/>
  <tableColumns count="8">
    <tableColumn id="1" xr3:uid="{00000000-0010-0000-0C00-000001000000}" name="@" dataDxfId="67"/>
    <tableColumn id="2" xr3:uid="{00000000-0010-0000-0C00-000002000000}" name="10x16" dataDxfId="66"/>
    <tableColumn id="3" xr3:uid="{00000000-0010-0000-0C00-000003000000}" name="10x21" dataDxfId="65"/>
    <tableColumn id="4" xr3:uid="{00000000-0010-0000-0C00-000004000000}" name="10x30" dataDxfId="64"/>
    <tableColumn id="5" xr3:uid="{00000000-0010-0000-0C00-000005000000}" name="15x24" dataDxfId="63"/>
    <tableColumn id="6" xr3:uid="{00000000-0010-0000-0C00-000006000000}" name="12x36" dataDxfId="62"/>
    <tableColumn id="7" xr3:uid="{00000000-0010-0000-0C00-000007000000}" name="15x38" dataDxfId="61"/>
    <tableColumn id="8" xr3:uid="{00000000-0010-0000-0C00-000008000000}" name="15x39" dataDxfId="60">
      <calculatedColumnFormula>+MAX(Q_Mandibula1_blando[[#This Row],[10x16]:[15x38]])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D000000}" name="Q_Mandibula2_blando" displayName="Q_Mandibula2_blando" ref="AQ25:AV42" totalsRowShown="0" headerRowDxfId="59" dataDxfId="58" tableBorderDxfId="57">
  <autoFilter ref="AQ25:AV42" xr:uid="{00000000-0009-0000-0100-000011000000}"/>
  <tableColumns count="6">
    <tableColumn id="1" xr3:uid="{00000000-0010-0000-0D00-000001000000}" name="@" dataDxfId="56"/>
    <tableColumn id="2" xr3:uid="{00000000-0010-0000-0D00-000002000000}" name="20x36" dataDxfId="55"/>
    <tableColumn id="3" xr3:uid="{00000000-0010-0000-0D00-000003000000}" name="25x40" dataDxfId="54"/>
    <tableColumn id="4" xr3:uid="{00000000-0010-0000-0D00-000004000000}" name="30x42" dataDxfId="53"/>
    <tableColumn id="5" xr3:uid="{00000000-0010-0000-0D00-000005000000}" name="42x48" dataDxfId="52"/>
    <tableColumn id="6" xr3:uid="{00000000-0010-0000-0D00-000006000000}" name="42x49" dataDxfId="51">
      <calculatedColumnFormula>+MAX(Q_Mandibula2_blando[[#This Row],[20x36]:[42x48]])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E000000}" name="Tabla8" displayName="Tabla8" ref="B2:R16" totalsRowShown="0" headerRowDxfId="50" dataDxfId="49">
  <autoFilter ref="B2:R16" xr:uid="{00000000-0009-0000-0100-000008000000}"/>
  <tableColumns count="17">
    <tableColumn id="1" xr3:uid="{00000000-0010-0000-0E00-000001000000}" name="Codigo" dataDxfId="48"/>
    <tableColumn id="2" xr3:uid="{00000000-0010-0000-0E00-000002000000}" name="Tamaño" dataDxfId="47"/>
    <tableColumn id="3" xr3:uid="{00000000-0010-0000-0E00-000003000000}" name="Manto" dataDxfId="46"/>
    <tableColumn id="4" xr3:uid="{00000000-0010-0000-0E00-000004000000}" name="Lado Abierto" dataDxfId="45"/>
    <tableColumn id="5" xr3:uid="{00000000-0010-0000-0E00-000005000000}" name="Lado cerrado" dataDxfId="44"/>
    <tableColumn id="6" xr3:uid="{00000000-0010-0000-0E00-000006000000}" name="C" dataDxfId="43"/>
    <tableColumn id="7" xr3:uid="{00000000-0010-0000-0E00-000007000000}" name=" 1/4" dataDxfId="42"/>
    <tableColumn id="8" xr3:uid="{00000000-0010-0000-0E00-000008000000}" name=" 3/8" dataDxfId="41"/>
    <tableColumn id="9" xr3:uid="{00000000-0010-0000-0E00-000009000000}" name=" 1/2" dataDxfId="40"/>
    <tableColumn id="10" xr3:uid="{00000000-0010-0000-0E00-00000A000000}" name=" 5/8" dataDxfId="39"/>
    <tableColumn id="11" xr3:uid="{00000000-0010-0000-0E00-00000B000000}" name=" 3/4" dataDxfId="38"/>
    <tableColumn id="12" xr3:uid="{00000000-0010-0000-0E00-00000C000000}" name=" 7/8" dataDxfId="37"/>
    <tableColumn id="13" xr3:uid="{00000000-0010-0000-0E00-00000D000000}" name="1    " dataDxfId="36"/>
    <tableColumn id="14" xr3:uid="{00000000-0010-0000-0E00-00000E000000}" name="1 1/4" dataDxfId="35"/>
    <tableColumn id="15" xr3:uid="{00000000-0010-0000-0E00-00000F000000}" name="1 1/2" dataDxfId="34"/>
    <tableColumn id="16" xr3:uid="{00000000-0010-0000-0E00-000010000000}" name="2    " dataDxfId="33"/>
    <tableColumn id="17" xr3:uid="{00000000-0010-0000-0E00-000011000000}" name="2 1/2" dataDxfId="32"/>
  </tableColumns>
  <tableStyleInfo name="TableStyleMedium1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0F000000}" name="Trit.conicas.24" displayName="Trit.conicas.24" ref="B20:R24" totalsRowShown="0" headerRowDxfId="31" headerRowBorderDxfId="30" tableBorderDxfId="29">
  <autoFilter ref="B20:R24" xr:uid="{00000000-0009-0000-0100-000017000000}"/>
  <tableColumns count="17">
    <tableColumn id="1" xr3:uid="{00000000-0010-0000-0F00-000001000000}" name="Codigo" dataDxfId="28"/>
    <tableColumn id="2" xr3:uid="{00000000-0010-0000-0F00-000002000000}" name="Tamaño"/>
    <tableColumn id="3" xr3:uid="{00000000-0010-0000-0F00-000003000000}" name="Manto"/>
    <tableColumn id="4" xr3:uid="{00000000-0010-0000-0F00-000004000000}" name="Lado Abierto"/>
    <tableColumn id="5" xr3:uid="{00000000-0010-0000-0F00-000005000000}" name="Lado cerrado"/>
    <tableColumn id="6" xr3:uid="{00000000-0010-0000-0F00-000006000000}" name="C"/>
    <tableColumn id="7" xr3:uid="{00000000-0010-0000-0F00-000007000000}" name=" 1/4"/>
    <tableColumn id="8" xr3:uid="{00000000-0010-0000-0F00-000008000000}" name=" 3/8"/>
    <tableColumn id="9" xr3:uid="{00000000-0010-0000-0F00-000009000000}" name=" 1/2"/>
    <tableColumn id="10" xr3:uid="{00000000-0010-0000-0F00-00000A000000}" name=" 5/8"/>
    <tableColumn id="11" xr3:uid="{00000000-0010-0000-0F00-00000B000000}" name=" 3/4"/>
    <tableColumn id="12" xr3:uid="{00000000-0010-0000-0F00-00000C000000}" name=" 7/8"/>
    <tableColumn id="13" xr3:uid="{00000000-0010-0000-0F00-00000D000000}" name="1    "/>
    <tableColumn id="14" xr3:uid="{00000000-0010-0000-0F00-00000E000000}" name="1 1/4"/>
    <tableColumn id="15" xr3:uid="{00000000-0010-0000-0F00-00000F000000}" name="1 1/2"/>
    <tableColumn id="16" xr3:uid="{00000000-0010-0000-0F00-000010000000}" name="2    "/>
    <tableColumn id="17" xr3:uid="{00000000-0010-0000-0F00-000011000000}" name="2 1/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0000000}" name="Trit.conicas.36" displayName="Trit.conicas.36" ref="B26:R30" totalsRowShown="0" headerRowDxfId="27" headerRowBorderDxfId="26" tableBorderDxfId="25">
  <autoFilter ref="B26:R30" xr:uid="{00000000-0009-0000-0100-000018000000}"/>
  <tableColumns count="17">
    <tableColumn id="1" xr3:uid="{00000000-0010-0000-1000-000001000000}" name="Codigo" dataDxfId="24"/>
    <tableColumn id="2" xr3:uid="{00000000-0010-0000-1000-000002000000}" name="Tamaño"/>
    <tableColumn id="3" xr3:uid="{00000000-0010-0000-1000-000003000000}" name="Manto"/>
    <tableColumn id="4" xr3:uid="{00000000-0010-0000-1000-000004000000}" name="Lado Abierto"/>
    <tableColumn id="5" xr3:uid="{00000000-0010-0000-1000-000005000000}" name="Lado cerrado"/>
    <tableColumn id="6" xr3:uid="{00000000-0010-0000-1000-000006000000}" name="C"/>
    <tableColumn id="7" xr3:uid="{00000000-0010-0000-1000-000007000000}" name=" 1/4"/>
    <tableColumn id="8" xr3:uid="{00000000-0010-0000-1000-000008000000}" name=" 3/8"/>
    <tableColumn id="9" xr3:uid="{00000000-0010-0000-1000-000009000000}" name=" 1/2"/>
    <tableColumn id="10" xr3:uid="{00000000-0010-0000-1000-00000A000000}" name=" 5/8"/>
    <tableColumn id="11" xr3:uid="{00000000-0010-0000-1000-00000B000000}" name=" 3/4"/>
    <tableColumn id="12" xr3:uid="{00000000-0010-0000-1000-00000C000000}" name=" 7/8"/>
    <tableColumn id="13" xr3:uid="{00000000-0010-0000-1000-00000D000000}" name="1    "/>
    <tableColumn id="14" xr3:uid="{00000000-0010-0000-1000-00000E000000}" name="1 1/4"/>
    <tableColumn id="15" xr3:uid="{00000000-0010-0000-1000-00000F000000}" name="1 1/2"/>
    <tableColumn id="16" xr3:uid="{00000000-0010-0000-1000-000010000000}" name="2    "/>
    <tableColumn id="17" xr3:uid="{00000000-0010-0000-1000-000011000000}" name="2 1/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1000000}" name="Trit.conicas.48" displayName="Trit.conicas.48" ref="B32:R36" totalsRowShown="0" headerRowDxfId="23" headerRowBorderDxfId="22" tableBorderDxfId="21">
  <autoFilter ref="B32:R36" xr:uid="{00000000-0009-0000-0100-000019000000}"/>
  <tableColumns count="17">
    <tableColumn id="1" xr3:uid="{00000000-0010-0000-1100-000001000000}" name="Codigo" dataDxfId="20"/>
    <tableColumn id="2" xr3:uid="{00000000-0010-0000-1100-000002000000}" name="Tamaño"/>
    <tableColumn id="3" xr3:uid="{00000000-0010-0000-1100-000003000000}" name="Manto"/>
    <tableColumn id="4" xr3:uid="{00000000-0010-0000-1100-000004000000}" name="Lado Abierto"/>
    <tableColumn id="5" xr3:uid="{00000000-0010-0000-1100-000005000000}" name="Lado cerrado"/>
    <tableColumn id="6" xr3:uid="{00000000-0010-0000-1100-000006000000}" name="C"/>
    <tableColumn id="7" xr3:uid="{00000000-0010-0000-1100-000007000000}" name=" 1/4"/>
    <tableColumn id="8" xr3:uid="{00000000-0010-0000-1100-000008000000}" name=" 3/8"/>
    <tableColumn id="9" xr3:uid="{00000000-0010-0000-1100-000009000000}" name=" 1/2"/>
    <tableColumn id="10" xr3:uid="{00000000-0010-0000-1100-00000A000000}" name=" 5/8"/>
    <tableColumn id="11" xr3:uid="{00000000-0010-0000-1100-00000B000000}" name=" 3/4"/>
    <tableColumn id="12" xr3:uid="{00000000-0010-0000-1100-00000C000000}" name=" 7/8"/>
    <tableColumn id="13" xr3:uid="{00000000-0010-0000-1100-00000D000000}" name="1    "/>
    <tableColumn id="14" xr3:uid="{00000000-0010-0000-1100-00000E000000}" name="1 1/4"/>
    <tableColumn id="15" xr3:uid="{00000000-0010-0000-1100-00000F000000}" name="1 1/2"/>
    <tableColumn id="16" xr3:uid="{00000000-0010-0000-1100-000010000000}" name="2    "/>
    <tableColumn id="17" xr3:uid="{00000000-0010-0000-1100-000011000000}" name="2 1/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2000000}" name="Trit.conicas.66" displayName="Trit.conicas.66" ref="B38:R42" totalsRowShown="0" headerRowDxfId="19" headerRowBorderDxfId="18" tableBorderDxfId="17">
  <autoFilter ref="B38:R42" xr:uid="{00000000-0009-0000-0100-00001A000000}"/>
  <tableColumns count="17">
    <tableColumn id="1" xr3:uid="{00000000-0010-0000-1200-000001000000}" name="Codigo" dataDxfId="16"/>
    <tableColumn id="2" xr3:uid="{00000000-0010-0000-1200-000002000000}" name="Tamaño"/>
    <tableColumn id="3" xr3:uid="{00000000-0010-0000-1200-000003000000}" name="Manto"/>
    <tableColumn id="4" xr3:uid="{00000000-0010-0000-1200-000004000000}" name="Lado Abierto"/>
    <tableColumn id="5" xr3:uid="{00000000-0010-0000-1200-000005000000}" name="Lado cerrado"/>
    <tableColumn id="6" xr3:uid="{00000000-0010-0000-1200-000006000000}" name="C"/>
    <tableColumn id="7" xr3:uid="{00000000-0010-0000-1200-000007000000}" name=" 1/4"/>
    <tableColumn id="8" xr3:uid="{00000000-0010-0000-1200-000008000000}" name=" 3/8"/>
    <tableColumn id="9" xr3:uid="{00000000-0010-0000-1200-000009000000}" name=" 1/2"/>
    <tableColumn id="10" xr3:uid="{00000000-0010-0000-1200-00000A000000}" name=" 5/8"/>
    <tableColumn id="11" xr3:uid="{00000000-0010-0000-1200-00000B000000}" name=" 3/4"/>
    <tableColumn id="12" xr3:uid="{00000000-0010-0000-1200-00000C000000}" name=" 7/8"/>
    <tableColumn id="13" xr3:uid="{00000000-0010-0000-1200-00000D000000}" name="1    "/>
    <tableColumn id="14" xr3:uid="{00000000-0010-0000-1200-00000E000000}" name="1 1/4"/>
    <tableColumn id="15" xr3:uid="{00000000-0010-0000-1200-00000F000000}" name="1 1/2"/>
    <tableColumn id="16" xr3:uid="{00000000-0010-0000-1200-000010000000}" name="2    "/>
    <tableColumn id="17" xr3:uid="{00000000-0010-0000-1200-000011000000}" name="2 1/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3000000}" name="Mand_usada" displayName="Mand_usada" ref="B6:D17" totalsRowShown="0" headerRowDxfId="15" dataDxfId="14">
  <autoFilter ref="B6:D17" xr:uid="{00000000-0009-0000-0100-000023000000}"/>
  <tableColumns count="3">
    <tableColumn id="2" xr3:uid="{00000000-0010-0000-1300-000002000000}" name="Tamaño" dataDxfId="13">
      <calculatedColumnFormula>+HLOOKUP($A$3,IF($D$4=1,Curvas_gran_graf_1[#All],Curvas_gran_graf_2[#All]),A7,0)</calculatedColumnFormula>
    </tableColumn>
    <tableColumn id="1" xr3:uid="{00000000-0010-0000-1300-000001000000}" name="% pasante peso" dataDxfId="12"/>
    <tableColumn id="3" xr3:uid="{00000000-0010-0000-1300-000003000000}" name="Tamaño 2" dataDxfId="11">
      <calculatedColumnFormula>+Mand_usada[[#This Row],[Tamaño]]</calculatedColumnFormula>
    </tableColumn>
  </tableColumns>
  <tableStyleInfo name="TableStyleMedium1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4000000}" name="Con_usada" displayName="Con_usada" ref="H6:J17" totalsRowShown="0" headerRowDxfId="10" dataDxfId="8" headerRowBorderDxfId="9" tableBorderDxfId="7">
  <autoFilter ref="H6:J17" xr:uid="{00000000-0009-0000-0100-000024000000}"/>
  <tableColumns count="3">
    <tableColumn id="2" xr3:uid="{00000000-0010-0000-1400-000002000000}" name="Tamaño" dataDxfId="0">
      <calculatedColumnFormula>+HLOOKUP($G$3,IF($K$4=3,Tabla18[[#All],[Columna1]:[Columna7]],IF($K$4=4,'Curvas Granul. C'!$B$20:$I$31,IF($K$4=5,'Curvas Granul. C'!$B$37:$K$48,IF($K$4=6,'Curvas Granul. C'!$B$52:$L$63,"se rompio todo")))),F7,0)</calculatedColumnFormula>
    </tableColumn>
    <tableColumn id="1" xr3:uid="{00000000-0010-0000-1400-000001000000}" name="% pasante peso" dataDxfId="6"/>
    <tableColumn id="3" xr3:uid="{00000000-0010-0000-1400-000003000000}" name="Tamaño2" dataDxfId="5">
      <calculatedColumnFormula>+Con_usada[[#This Row],[Tamaño]]</calculatedColumnFormula>
    </tableColumn>
  </tableColumns>
  <tableStyleInfo name="TableStyleMedium1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5000000}" name="Dureza_Materiales" displayName="Dureza_Materiales" ref="A2:B19" totalsRowShown="0" headerRowDxfId="4" dataDxfId="3">
  <autoFilter ref="A2:B19" xr:uid="{00000000-0009-0000-0100-00000B000000}"/>
  <tableColumns count="2">
    <tableColumn id="1" xr3:uid="{00000000-0010-0000-1500-000001000000}" name="Material" dataDxfId="2"/>
    <tableColumn id="2" xr3:uid="{00000000-0010-0000-1500-000002000000}" name="Dureza" dataDxfId="1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G18"/>
  <sheetViews>
    <sheetView showGridLines="0" workbookViewId="0">
      <selection activeCell="J14" sqref="J14"/>
    </sheetView>
  </sheetViews>
  <sheetFormatPr baseColWidth="10" defaultColWidth="11" defaultRowHeight="13.8" x14ac:dyDescent="0.25"/>
  <cols>
    <col min="3" max="3" width="53.90625" bestFit="1" customWidth="1"/>
    <col min="5" max="5" width="25" customWidth="1"/>
  </cols>
  <sheetData>
    <row r="2" spans="2:7" ht="14.4" thickBot="1" x14ac:dyDescent="0.3"/>
    <row r="3" spans="2:7" ht="21" x14ac:dyDescent="0.4">
      <c r="B3" s="150"/>
      <c r="C3" s="151" t="s">
        <v>208</v>
      </c>
      <c r="D3" s="152"/>
      <c r="E3" s="153"/>
      <c r="F3" s="154"/>
    </row>
    <row r="4" spans="2:7" ht="18" x14ac:dyDescent="0.25">
      <c r="B4" s="155"/>
      <c r="C4" s="156"/>
      <c r="D4" s="156"/>
      <c r="E4" s="157"/>
      <c r="F4" s="158"/>
    </row>
    <row r="5" spans="2:7" ht="21" x14ac:dyDescent="0.4">
      <c r="B5" s="155"/>
      <c r="C5" s="159" t="s">
        <v>209</v>
      </c>
      <c r="D5" s="156"/>
      <c r="E5" s="160">
        <v>150</v>
      </c>
      <c r="F5" s="158"/>
    </row>
    <row r="6" spans="2:7" ht="21" x14ac:dyDescent="0.4">
      <c r="B6" s="155"/>
      <c r="C6" s="161"/>
      <c r="D6" s="156"/>
      <c r="E6" s="157"/>
      <c r="F6" s="158"/>
    </row>
    <row r="7" spans="2:7" ht="21" x14ac:dyDescent="0.4">
      <c r="B7" s="155"/>
      <c r="C7" s="159" t="s">
        <v>210</v>
      </c>
      <c r="D7" s="156"/>
      <c r="E7" s="16" t="s">
        <v>124</v>
      </c>
      <c r="F7" s="158"/>
      <c r="G7" s="121"/>
    </row>
    <row r="8" spans="2:7" ht="21" x14ac:dyDescent="0.4">
      <c r="B8" s="155"/>
      <c r="C8" s="161"/>
      <c r="D8" s="156"/>
      <c r="E8" s="157"/>
      <c r="F8" s="158"/>
    </row>
    <row r="9" spans="2:7" ht="21" x14ac:dyDescent="0.4">
      <c r="B9" s="155"/>
      <c r="C9" s="159" t="s">
        <v>211</v>
      </c>
      <c r="D9" s="156"/>
      <c r="E9" s="160">
        <v>20</v>
      </c>
      <c r="F9" s="158"/>
    </row>
    <row r="10" spans="2:7" ht="21" x14ac:dyDescent="0.4">
      <c r="B10" s="155"/>
      <c r="C10" s="161"/>
      <c r="D10" s="156"/>
      <c r="E10" s="157"/>
      <c r="F10" s="158"/>
    </row>
    <row r="11" spans="2:7" ht="21" x14ac:dyDescent="0.4">
      <c r="B11" s="155"/>
      <c r="C11" s="159" t="s">
        <v>212</v>
      </c>
      <c r="D11" s="156"/>
      <c r="E11" s="160">
        <v>1.5</v>
      </c>
      <c r="F11" s="158"/>
    </row>
    <row r="12" spans="2:7" ht="21" x14ac:dyDescent="0.4">
      <c r="B12" s="155"/>
      <c r="C12" s="161"/>
      <c r="D12" s="156"/>
      <c r="E12" s="157"/>
      <c r="F12" s="158"/>
    </row>
    <row r="13" spans="2:7" ht="21" x14ac:dyDescent="0.4">
      <c r="B13" s="155"/>
      <c r="C13" s="159" t="s">
        <v>213</v>
      </c>
      <c r="D13" s="156"/>
      <c r="E13" s="160">
        <v>1</v>
      </c>
      <c r="F13" s="158"/>
    </row>
    <row r="14" spans="2:7" ht="21" x14ac:dyDescent="0.4">
      <c r="B14" s="155"/>
      <c r="C14" s="161"/>
      <c r="D14" s="156"/>
      <c r="E14" s="157"/>
      <c r="F14" s="158"/>
    </row>
    <row r="15" spans="2:7" ht="21" x14ac:dyDescent="0.4">
      <c r="B15" s="155"/>
      <c r="C15" s="166" t="s">
        <v>214</v>
      </c>
      <c r="D15" s="156"/>
      <c r="E15" s="160">
        <v>0.5</v>
      </c>
      <c r="F15" s="158"/>
    </row>
    <row r="16" spans="2:7" ht="21" x14ac:dyDescent="0.4">
      <c r="B16" s="155"/>
      <c r="C16" s="159"/>
      <c r="D16" s="156"/>
      <c r="E16" s="157"/>
      <c r="F16" s="158"/>
    </row>
    <row r="17" spans="2:6" ht="21" x14ac:dyDescent="0.4">
      <c r="B17" s="155"/>
      <c r="C17" s="159"/>
      <c r="D17" s="156"/>
      <c r="E17" s="157"/>
      <c r="F17" s="158"/>
    </row>
    <row r="18" spans="2:6" ht="18.600000000000001" thickBot="1" x14ac:dyDescent="0.3">
      <c r="B18" s="162"/>
      <c r="C18" s="163"/>
      <c r="D18" s="163"/>
      <c r="E18" s="164"/>
      <c r="F18" s="165"/>
    </row>
  </sheetData>
  <dataValidations count="4">
    <dataValidation type="decimal" operator="greaterThan" allowBlank="1" showInputMessage="1" showErrorMessage="1" sqref="E16:E17" xr:uid="{00000000-0002-0000-0000-000000000000}">
      <formula1>0</formula1>
    </dataValidation>
    <dataValidation type="decimal" allowBlank="1" showInputMessage="1" showErrorMessage="1" errorTitle="Caudal Invalido" error="Por favor inserte un número positivo que no supere 1000" sqref="E5" xr:uid="{00000000-0002-0000-0000-000001000000}">
      <formula1>0</formula1>
      <formula2>1000</formula2>
    </dataValidation>
    <dataValidation type="decimal" allowBlank="1" showInputMessage="1" showErrorMessage="1" errorTitle="Tamaño invalido" error="Por favor inserte un número positivo menor a 100" sqref="E9" xr:uid="{00000000-0002-0000-0000-000002000000}">
      <formula1>0</formula1>
      <formula2>100</formula2>
    </dataValidation>
    <dataValidation type="decimal" allowBlank="1" showInputMessage="1" showErrorMessage="1" errorTitle="Error en el diámetro" error="Por favor inserte un número entre 0 y 100" sqref="E13 E11 E15" xr:uid="{00000000-0002-0000-0000-000003000000}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GenerarInforme">
                <anchor moveWithCells="1" sizeWithCells="1">
                  <from>
                    <xdr:col>4</xdr:col>
                    <xdr:colOff>7620</xdr:colOff>
                    <xdr:row>15</xdr:row>
                    <xdr:rowOff>236220</xdr:rowOff>
                  </from>
                  <to>
                    <xdr:col>5</xdr:col>
                    <xdr:colOff>0</xdr:colOff>
                    <xdr:row>17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LimpiarDatos">
                <anchor moveWithCells="1" sizeWithCells="1">
                  <from>
                    <xdr:col>2</xdr:col>
                    <xdr:colOff>76200</xdr:colOff>
                    <xdr:row>15</xdr:row>
                    <xdr:rowOff>266700</xdr:rowOff>
                  </from>
                  <to>
                    <xdr:col>2</xdr:col>
                    <xdr:colOff>2049780</xdr:colOff>
                    <xdr:row>17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Materiales!$A$3:$A$19</xm:f>
          </x14:formula1>
          <xm:sqref>E7:G7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B1:H51"/>
  <sheetViews>
    <sheetView showGridLines="0" view="pageBreakPreview" topLeftCell="A34" zoomScale="109" zoomScaleNormal="135" zoomScaleSheetLayoutView="109" workbookViewId="0">
      <selection activeCell="H17" sqref="H17"/>
    </sheetView>
  </sheetViews>
  <sheetFormatPr baseColWidth="10" defaultColWidth="11" defaultRowHeight="13.8" x14ac:dyDescent="0.25"/>
  <cols>
    <col min="1" max="1" width="3.08984375" style="121" customWidth="1"/>
    <col min="2" max="8" width="10" style="121" customWidth="1"/>
    <col min="9" max="9" width="3.6328125" style="121" customWidth="1"/>
    <col min="10" max="16384" width="11" style="121"/>
  </cols>
  <sheetData>
    <row r="1" spans="2:8" ht="14.4" thickBot="1" x14ac:dyDescent="0.3"/>
    <row r="2" spans="2:8" ht="26.1" customHeight="1" x14ac:dyDescent="0.25">
      <c r="B2" s="167"/>
      <c r="C2" s="168"/>
      <c r="D2" s="168"/>
      <c r="E2" s="168"/>
      <c r="F2" s="168"/>
      <c r="G2" s="254" t="s">
        <v>216</v>
      </c>
      <c r="H2" s="255"/>
    </row>
    <row r="3" spans="2:8" x14ac:dyDescent="0.25">
      <c r="B3" s="256" t="s">
        <v>215</v>
      </c>
      <c r="C3" s="257"/>
      <c r="D3" s="257"/>
      <c r="E3" s="257"/>
      <c r="F3" s="257"/>
      <c r="G3" s="257"/>
      <c r="H3" s="258"/>
    </row>
    <row r="4" spans="2:8" x14ac:dyDescent="0.25">
      <c r="B4" s="256"/>
      <c r="C4" s="257"/>
      <c r="D4" s="257"/>
      <c r="E4" s="257"/>
      <c r="F4" s="257"/>
      <c r="G4" s="257"/>
      <c r="H4" s="258"/>
    </row>
    <row r="5" spans="2:8" x14ac:dyDescent="0.25">
      <c r="B5" s="169"/>
      <c r="C5" s="170"/>
      <c r="D5" s="170"/>
      <c r="E5" s="170"/>
      <c r="F5" s="170"/>
      <c r="G5" s="170"/>
      <c r="H5" s="171"/>
    </row>
    <row r="6" spans="2:8" x14ac:dyDescent="0.25">
      <c r="B6" s="169"/>
      <c r="C6" s="170"/>
      <c r="D6" s="170"/>
      <c r="E6" s="170"/>
      <c r="F6" s="170"/>
      <c r="G6" s="170"/>
      <c r="H6" s="171"/>
    </row>
    <row r="7" spans="2:8" x14ac:dyDescent="0.25">
      <c r="B7" s="169"/>
      <c r="C7" s="170"/>
      <c r="D7" s="170"/>
      <c r="E7" s="170"/>
      <c r="F7" s="170"/>
      <c r="G7" s="170"/>
      <c r="H7" s="171"/>
    </row>
    <row r="8" spans="2:8" x14ac:dyDescent="0.25">
      <c r="B8" s="169"/>
      <c r="C8" s="170"/>
      <c r="D8" s="170"/>
      <c r="E8" s="170"/>
      <c r="F8" s="170"/>
      <c r="G8" s="170"/>
      <c r="H8" s="171"/>
    </row>
    <row r="9" spans="2:8" x14ac:dyDescent="0.25">
      <c r="B9" s="169"/>
      <c r="C9" s="313" t="s">
        <v>232</v>
      </c>
      <c r="D9" s="170"/>
      <c r="E9" s="170"/>
      <c r="F9" s="170"/>
      <c r="G9" s="170"/>
      <c r="H9" s="171"/>
    </row>
    <row r="10" spans="2:8" x14ac:dyDescent="0.25">
      <c r="B10" s="169"/>
      <c r="C10" s="170"/>
      <c r="D10" s="170"/>
      <c r="E10" s="170"/>
      <c r="F10" s="170"/>
      <c r="G10" s="170"/>
      <c r="H10" s="171"/>
    </row>
    <row r="11" spans="2:8" x14ac:dyDescent="0.25">
      <c r="B11" s="169"/>
      <c r="C11" s="175" t="str">
        <f>CONCATENATE("Número de etapas",": ",IF(DimensionadorTrit!D22&gt;15,2,1))</f>
        <v>Número de etapas: 1</v>
      </c>
      <c r="D11" s="170"/>
      <c r="E11" s="170"/>
      <c r="F11" s="170"/>
      <c r="G11" s="170"/>
      <c r="H11" s="171"/>
    </row>
    <row r="12" spans="2:8" x14ac:dyDescent="0.25">
      <c r="B12" s="169"/>
      <c r="C12" s="175"/>
      <c r="D12" s="170"/>
      <c r="E12" s="170"/>
      <c r="F12" s="170"/>
      <c r="G12" s="170"/>
      <c r="H12" s="171"/>
    </row>
    <row r="13" spans="2:8" x14ac:dyDescent="0.25">
      <c r="B13" s="169"/>
      <c r="C13" s="175" t="str">
        <f>CONCATENATE("Cantidad de Trituradoras de Mandíbulas: ",DimensionadorTrit!B38)</f>
        <v>Cantidad de Trituradoras de Mandíbulas: 2</v>
      </c>
      <c r="D13" s="170"/>
      <c r="E13" s="170"/>
      <c r="F13" s="170"/>
      <c r="G13" s="170"/>
      <c r="H13" s="171"/>
    </row>
    <row r="14" spans="2:8" x14ac:dyDescent="0.25">
      <c r="B14" s="169"/>
      <c r="C14" s="175"/>
      <c r="D14" s="170"/>
      <c r="E14" s="170"/>
      <c r="F14" s="170"/>
      <c r="G14" s="170"/>
      <c r="H14" s="171"/>
    </row>
    <row r="15" spans="2:8" x14ac:dyDescent="0.25">
      <c r="B15" s="169"/>
      <c r="C15" s="175" t="str">
        <f>CONCATENATE("Tipo de Trituradoras de Mandíbulas: Telsmith Nº ", VLOOKUP(1,DimensionadorTrit!E35:I44,5)," con @ ",TEXT(VLOOKUP(1,DimensionadorTrit!E35:I44,3), "# ?/?"))</f>
        <v xml:space="preserve">Tipo de Trituradoras de Mandíbulas: Telsmith Nº 20x36 con @ 2    </v>
      </c>
      <c r="D15" s="170"/>
      <c r="E15" s="170"/>
      <c r="F15" s="170"/>
      <c r="G15" s="170"/>
      <c r="H15" s="171"/>
    </row>
    <row r="16" spans="2:8" x14ac:dyDescent="0.25">
      <c r="B16" s="169"/>
      <c r="C16" s="175"/>
      <c r="D16" s="170"/>
      <c r="E16" s="170"/>
      <c r="F16" s="170"/>
      <c r="G16" s="170"/>
      <c r="H16" s="171"/>
    </row>
    <row r="17" spans="2:8" x14ac:dyDescent="0.25">
      <c r="B17" s="169"/>
      <c r="C17" s="175" t="str">
        <f>IFERROR(CONCATENATE("Cantidad de Trituradoras Cónicas: ",DimensionadorTrit!T22),"")</f>
        <v/>
      </c>
      <c r="D17" s="170"/>
      <c r="E17" s="170"/>
      <c r="F17" s="170"/>
      <c r="G17" s="170"/>
      <c r="H17" s="171"/>
    </row>
    <row r="18" spans="2:8" x14ac:dyDescent="0.25">
      <c r="B18" s="169"/>
      <c r="C18" s="175"/>
      <c r="D18" s="170"/>
      <c r="E18" s="170"/>
      <c r="F18" s="170"/>
      <c r="G18" s="170"/>
      <c r="H18" s="171"/>
    </row>
    <row r="19" spans="2:8" x14ac:dyDescent="0.25">
      <c r="B19" s="169"/>
      <c r="C19" s="175" t="str">
        <f>IFERROR(CONCATENATE("Tipo de Trituradoras Cónica: Telsmith Nº ",RIGHT(DimensionadorTrit!Q22,2)," con @ ",TEXT(DimensionadorTrit!R22, "# ?/?")," y manto ",DimensionadorTrit!S22),"")</f>
        <v/>
      </c>
      <c r="D19" s="170"/>
      <c r="E19" s="170"/>
      <c r="F19" s="170"/>
      <c r="G19" s="170"/>
      <c r="H19" s="171"/>
    </row>
    <row r="20" spans="2:8" x14ac:dyDescent="0.25">
      <c r="B20" s="169"/>
      <c r="C20" s="170"/>
      <c r="D20" s="170"/>
      <c r="E20" s="170"/>
      <c r="F20" s="170"/>
      <c r="G20" s="170"/>
      <c r="H20" s="171"/>
    </row>
    <row r="21" spans="2:8" x14ac:dyDescent="0.25">
      <c r="B21" s="169"/>
      <c r="C21" s="170"/>
      <c r="D21" s="170"/>
      <c r="E21" s="170"/>
      <c r="F21" s="170"/>
      <c r="G21" s="170"/>
      <c r="H21" s="171"/>
    </row>
    <row r="22" spans="2:8" x14ac:dyDescent="0.25">
      <c r="B22" s="169"/>
      <c r="C22" s="313" t="s">
        <v>217</v>
      </c>
      <c r="D22" s="170"/>
      <c r="E22" s="170"/>
      <c r="F22" s="170"/>
      <c r="G22" s="170"/>
      <c r="H22" s="171"/>
    </row>
    <row r="23" spans="2:8" ht="14.4" thickBot="1" x14ac:dyDescent="0.3">
      <c r="B23" s="169"/>
      <c r="C23" s="170"/>
      <c r="D23" s="170"/>
      <c r="E23" s="170"/>
      <c r="F23" s="170"/>
      <c r="G23" s="170"/>
      <c r="H23" s="171"/>
    </row>
    <row r="24" spans="2:8" ht="14.4" thickBot="1" x14ac:dyDescent="0.3">
      <c r="B24" s="169"/>
      <c r="C24" s="259" t="s">
        <v>231</v>
      </c>
      <c r="D24" s="260"/>
      <c r="E24" s="170"/>
      <c r="F24" s="170"/>
      <c r="G24" s="170"/>
      <c r="H24" s="171"/>
    </row>
    <row r="25" spans="2:8" ht="14.4" thickBot="1" x14ac:dyDescent="0.3">
      <c r="B25" s="169"/>
      <c r="C25" s="231" t="s">
        <v>230</v>
      </c>
      <c r="D25" s="232" t="s">
        <v>229</v>
      </c>
      <c r="E25" s="232" t="s">
        <v>153</v>
      </c>
      <c r="F25" s="235" t="s">
        <v>73</v>
      </c>
      <c r="G25" s="170"/>
      <c r="H25" s="171"/>
    </row>
    <row r="26" spans="2:8" x14ac:dyDescent="0.25">
      <c r="B26" s="169"/>
      <c r="C26" s="240">
        <f>'Iterador 80% y Analisis Gran.'!L9</f>
        <v>1.5</v>
      </c>
      <c r="D26" s="241">
        <f>'Iterador 80% y Analisis Gran.'!M9</f>
        <v>1</v>
      </c>
      <c r="E26" s="242">
        <f>DimensionadorTrit!R34</f>
        <v>0.75</v>
      </c>
      <c r="F26" s="252">
        <f>DimensionadorTrit!S34</f>
        <v>112.5</v>
      </c>
      <c r="G26" s="170"/>
      <c r="H26" s="171"/>
    </row>
    <row r="27" spans="2:8" x14ac:dyDescent="0.25">
      <c r="B27" s="169"/>
      <c r="C27" s="238">
        <f>'Iterador 80% y Analisis Gran.'!L10</f>
        <v>1</v>
      </c>
      <c r="D27" s="88">
        <f>'Iterador 80% y Analisis Gran.'!M10</f>
        <v>0.5</v>
      </c>
      <c r="E27" s="242">
        <f>DimensionadorTrit!R35</f>
        <v>0.16666666666666666</v>
      </c>
      <c r="F27" s="252">
        <f>DimensionadorTrit!S35</f>
        <v>25</v>
      </c>
      <c r="G27" s="170"/>
      <c r="H27" s="171"/>
    </row>
    <row r="28" spans="2:8" ht="14.4" thickBot="1" x14ac:dyDescent="0.3">
      <c r="B28" s="169"/>
      <c r="C28" s="244">
        <f>'Iterador 80% y Analisis Gran.'!L11</f>
        <v>0.5</v>
      </c>
      <c r="D28" s="245">
        <f>'Iterador 80% y Analisis Gran.'!M11</f>
        <v>0</v>
      </c>
      <c r="E28" s="242">
        <f>DimensionadorTrit!R36</f>
        <v>8.3333333333333343E-2</v>
      </c>
      <c r="F28" s="252">
        <f>DimensionadorTrit!S36</f>
        <v>12.500000000000002</v>
      </c>
      <c r="G28" s="170"/>
      <c r="H28" s="171"/>
    </row>
    <row r="29" spans="2:8" ht="14.4" thickBot="1" x14ac:dyDescent="0.3">
      <c r="B29" s="169"/>
      <c r="C29" s="230" t="str">
        <f>'Iterador 80% y Analisis Gran.'!L12</f>
        <v>Total</v>
      </c>
      <c r="D29" s="233">
        <f>'Iterador 80% y Analisis Gran.'!M12</f>
        <v>0</v>
      </c>
      <c r="E29" s="234">
        <f>SUM(E26:E28)</f>
        <v>1</v>
      </c>
      <c r="F29" s="236">
        <f>SUM(F26:F28)</f>
        <v>150</v>
      </c>
      <c r="G29" s="170"/>
      <c r="H29" s="171"/>
    </row>
    <row r="30" spans="2:8" x14ac:dyDescent="0.25">
      <c r="B30" s="169"/>
      <c r="C30" s="170"/>
      <c r="D30" s="170"/>
      <c r="E30" s="170"/>
      <c r="F30" s="170"/>
      <c r="G30" s="170"/>
      <c r="H30" s="171"/>
    </row>
    <row r="31" spans="2:8" x14ac:dyDescent="0.25">
      <c r="B31" s="169"/>
      <c r="C31" s="170"/>
      <c r="D31" s="170"/>
      <c r="E31" s="170"/>
      <c r="F31" s="170"/>
      <c r="G31" s="170"/>
      <c r="H31" s="171"/>
    </row>
    <row r="32" spans="2:8" x14ac:dyDescent="0.25">
      <c r="B32" s="169"/>
      <c r="C32" s="170"/>
      <c r="D32" s="170"/>
      <c r="E32" s="170"/>
      <c r="F32" s="170"/>
      <c r="G32" s="170"/>
      <c r="H32" s="171"/>
    </row>
    <row r="33" spans="2:8" x14ac:dyDescent="0.25">
      <c r="B33" s="169"/>
      <c r="C33" s="170"/>
      <c r="D33" s="170"/>
      <c r="E33" s="170"/>
      <c r="F33" s="170"/>
      <c r="G33" s="170"/>
      <c r="H33" s="171"/>
    </row>
    <row r="34" spans="2:8" x14ac:dyDescent="0.25">
      <c r="B34" s="169"/>
      <c r="C34" s="170"/>
      <c r="D34" s="170"/>
      <c r="E34" s="170"/>
      <c r="F34" s="170"/>
      <c r="G34" s="170"/>
      <c r="H34" s="171"/>
    </row>
    <row r="35" spans="2:8" x14ac:dyDescent="0.25">
      <c r="B35" s="169"/>
      <c r="C35" s="170"/>
      <c r="D35" s="170"/>
      <c r="E35" s="170"/>
      <c r="F35" s="170"/>
      <c r="G35" s="170"/>
      <c r="H35" s="171"/>
    </row>
    <row r="36" spans="2:8" x14ac:dyDescent="0.25">
      <c r="B36" s="169"/>
      <c r="C36" s="170"/>
      <c r="D36" s="170"/>
      <c r="E36" s="170"/>
      <c r="F36" s="170"/>
      <c r="G36" s="170"/>
      <c r="H36" s="171"/>
    </row>
    <row r="37" spans="2:8" x14ac:dyDescent="0.25">
      <c r="B37" s="169"/>
      <c r="C37" s="170"/>
      <c r="D37" s="170"/>
      <c r="E37" s="170"/>
      <c r="F37" s="170"/>
      <c r="G37" s="170"/>
      <c r="H37" s="171"/>
    </row>
    <row r="38" spans="2:8" x14ac:dyDescent="0.25">
      <c r="B38" s="169"/>
      <c r="C38" s="170"/>
      <c r="D38" s="170"/>
      <c r="E38" s="170"/>
      <c r="F38" s="170"/>
      <c r="G38" s="170"/>
      <c r="H38" s="171"/>
    </row>
    <row r="39" spans="2:8" x14ac:dyDescent="0.25">
      <c r="B39" s="169"/>
      <c r="C39" s="170"/>
      <c r="D39" s="170"/>
      <c r="E39" s="170"/>
      <c r="F39" s="170"/>
      <c r="G39" s="170"/>
      <c r="H39" s="171"/>
    </row>
    <row r="40" spans="2:8" x14ac:dyDescent="0.25">
      <c r="B40" s="169"/>
      <c r="C40" s="170"/>
      <c r="D40" s="170"/>
      <c r="E40" s="170"/>
      <c r="F40" s="170"/>
      <c r="G40" s="170"/>
      <c r="H40" s="171"/>
    </row>
    <row r="41" spans="2:8" x14ac:dyDescent="0.25">
      <c r="B41" s="169"/>
      <c r="C41" s="170"/>
      <c r="D41" s="170"/>
      <c r="E41" s="170"/>
      <c r="F41" s="170"/>
      <c r="G41" s="170"/>
      <c r="H41" s="171"/>
    </row>
    <row r="42" spans="2:8" x14ac:dyDescent="0.25">
      <c r="B42" s="169"/>
      <c r="C42" s="170"/>
      <c r="D42" s="170"/>
      <c r="E42" s="170"/>
      <c r="F42" s="170"/>
      <c r="G42" s="170"/>
      <c r="H42" s="171"/>
    </row>
    <row r="43" spans="2:8" x14ac:dyDescent="0.25">
      <c r="B43" s="169"/>
      <c r="C43" s="170"/>
      <c r="D43" s="170"/>
      <c r="E43" s="170"/>
      <c r="F43" s="170"/>
      <c r="G43" s="170"/>
      <c r="H43" s="171"/>
    </row>
    <row r="44" spans="2:8" x14ac:dyDescent="0.25">
      <c r="B44" s="169"/>
      <c r="C44" s="170"/>
      <c r="D44" s="170"/>
      <c r="E44" s="170"/>
      <c r="F44" s="170"/>
      <c r="G44" s="170"/>
      <c r="H44" s="171"/>
    </row>
    <row r="45" spans="2:8" x14ac:dyDescent="0.25">
      <c r="B45" s="169"/>
      <c r="C45" s="170"/>
      <c r="D45" s="170"/>
      <c r="E45" s="170"/>
      <c r="F45" s="170"/>
      <c r="G45" s="170"/>
      <c r="H45" s="171"/>
    </row>
    <row r="46" spans="2:8" x14ac:dyDescent="0.25">
      <c r="B46" s="169"/>
      <c r="C46" s="170"/>
      <c r="D46" s="170"/>
      <c r="E46" s="170"/>
      <c r="F46" s="170"/>
      <c r="G46" s="170"/>
      <c r="H46" s="171"/>
    </row>
    <row r="47" spans="2:8" x14ac:dyDescent="0.25">
      <c r="B47" s="169"/>
      <c r="C47" s="170"/>
      <c r="D47" s="170"/>
      <c r="E47" s="170"/>
      <c r="F47" s="170"/>
      <c r="G47" s="170"/>
      <c r="H47" s="171"/>
    </row>
    <row r="48" spans="2:8" x14ac:dyDescent="0.25">
      <c r="B48" s="169"/>
      <c r="C48" s="170"/>
      <c r="D48" s="170"/>
      <c r="E48" s="170"/>
      <c r="F48" s="170"/>
      <c r="G48" s="170"/>
      <c r="H48" s="171"/>
    </row>
    <row r="49" spans="2:8" x14ac:dyDescent="0.25">
      <c r="B49" s="169"/>
      <c r="C49" s="170"/>
      <c r="D49" s="170"/>
      <c r="E49" s="170"/>
      <c r="F49" s="170"/>
      <c r="G49" s="170"/>
      <c r="H49" s="171"/>
    </row>
    <row r="50" spans="2:8" x14ac:dyDescent="0.25">
      <c r="B50" s="169"/>
      <c r="C50" s="170"/>
      <c r="D50" s="170"/>
      <c r="E50" s="170"/>
      <c r="F50" s="170"/>
      <c r="G50" s="170"/>
      <c r="H50" s="171"/>
    </row>
    <row r="51" spans="2:8" ht="14.4" thickBot="1" x14ac:dyDescent="0.3">
      <c r="B51" s="172"/>
      <c r="C51" s="173"/>
      <c r="D51" s="173"/>
      <c r="E51" s="173"/>
      <c r="F51" s="173"/>
      <c r="G51" s="173"/>
      <c r="H51" s="174"/>
    </row>
  </sheetData>
  <mergeCells count="3">
    <mergeCell ref="G2:H2"/>
    <mergeCell ref="B3:H4"/>
    <mergeCell ref="C24:D24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portrait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I59"/>
  <sheetViews>
    <sheetView showGridLines="0" tabSelected="1" view="pageBreakPreview" zoomScale="109" zoomScaleNormal="85" zoomScaleSheetLayoutView="109" workbookViewId="0">
      <selection activeCell="B2" sqref="B2:H50"/>
    </sheetView>
  </sheetViews>
  <sheetFormatPr baseColWidth="10" defaultColWidth="11" defaultRowHeight="13.8" x14ac:dyDescent="0.25"/>
  <cols>
    <col min="1" max="1" width="3.08984375" customWidth="1"/>
    <col min="2" max="8" width="10" customWidth="1"/>
    <col min="9" max="9" width="3.6328125" customWidth="1"/>
  </cols>
  <sheetData>
    <row r="1" spans="2:8" ht="14.4" thickBot="1" x14ac:dyDescent="0.3"/>
    <row r="2" spans="2:8" ht="26.1" customHeight="1" x14ac:dyDescent="0.25">
      <c r="B2" s="167"/>
      <c r="C2" s="168"/>
      <c r="D2" s="168"/>
      <c r="E2" s="168"/>
      <c r="F2" s="168"/>
      <c r="G2" s="254" t="s">
        <v>216</v>
      </c>
      <c r="H2" s="255"/>
    </row>
    <row r="3" spans="2:8" x14ac:dyDescent="0.25">
      <c r="B3" s="256" t="s">
        <v>215</v>
      </c>
      <c r="C3" s="257"/>
      <c r="D3" s="257"/>
      <c r="E3" s="257"/>
      <c r="F3" s="257"/>
      <c r="G3" s="257"/>
      <c r="H3" s="258"/>
    </row>
    <row r="4" spans="2:8" x14ac:dyDescent="0.25">
      <c r="B4" s="256"/>
      <c r="C4" s="257"/>
      <c r="D4" s="257"/>
      <c r="E4" s="257"/>
      <c r="F4" s="257"/>
      <c r="G4" s="257"/>
      <c r="H4" s="258"/>
    </row>
    <row r="5" spans="2:8" x14ac:dyDescent="0.25">
      <c r="B5" s="169"/>
      <c r="C5" s="170"/>
      <c r="D5" s="170"/>
      <c r="E5" s="170"/>
      <c r="F5" s="170"/>
      <c r="G5" s="170"/>
      <c r="H5" s="171"/>
    </row>
    <row r="6" spans="2:8" x14ac:dyDescent="0.25">
      <c r="B6" s="169"/>
      <c r="C6" s="170"/>
      <c r="D6" s="170"/>
      <c r="E6" s="170"/>
      <c r="F6" s="170"/>
      <c r="G6" s="170"/>
      <c r="H6" s="171"/>
    </row>
    <row r="7" spans="2:8" x14ac:dyDescent="0.25">
      <c r="B7" s="169"/>
      <c r="C7" s="170"/>
      <c r="D7" s="170"/>
      <c r="E7" s="170"/>
      <c r="F7" s="170"/>
      <c r="G7" s="170"/>
      <c r="H7" s="171"/>
    </row>
    <row r="8" spans="2:8" x14ac:dyDescent="0.25">
      <c r="B8" s="169"/>
      <c r="C8" s="170"/>
      <c r="D8" s="170"/>
      <c r="E8" s="170"/>
      <c r="F8" s="170"/>
      <c r="G8" s="170"/>
      <c r="H8" s="171"/>
    </row>
    <row r="9" spans="2:8" x14ac:dyDescent="0.25">
      <c r="B9" s="169"/>
      <c r="C9" s="313" t="s">
        <v>232</v>
      </c>
      <c r="D9" s="170"/>
      <c r="E9" s="170"/>
      <c r="F9" s="170"/>
      <c r="G9" s="170"/>
      <c r="H9" s="171"/>
    </row>
    <row r="10" spans="2:8" x14ac:dyDescent="0.25">
      <c r="B10" s="169"/>
      <c r="C10" s="170"/>
      <c r="D10" s="170"/>
      <c r="E10" s="170"/>
      <c r="F10" s="170"/>
      <c r="G10" s="170"/>
      <c r="H10" s="171"/>
    </row>
    <row r="11" spans="2:8" x14ac:dyDescent="0.25">
      <c r="B11" s="169"/>
      <c r="C11" s="175" t="str">
        <f>CONCATENATE("Número de etapas",": ",IF(DimensionadorTrit!D22&gt;15,2,1))</f>
        <v>Número de etapas: 1</v>
      </c>
      <c r="D11" s="170"/>
      <c r="E11" s="170"/>
      <c r="F11" s="170"/>
      <c r="G11" s="170"/>
      <c r="H11" s="171"/>
    </row>
    <row r="12" spans="2:8" x14ac:dyDescent="0.25">
      <c r="B12" s="169"/>
      <c r="C12" s="175"/>
      <c r="D12" s="170"/>
      <c r="E12" s="170"/>
      <c r="F12" s="170"/>
      <c r="G12" s="170"/>
      <c r="H12" s="171"/>
    </row>
    <row r="13" spans="2:8" x14ac:dyDescent="0.25">
      <c r="B13" s="169"/>
      <c r="C13" s="175" t="str">
        <f>CONCATENATE("Cantidad de Trituradoras de Mandíbulas: ",DimensionadorTrit!T21)</f>
        <v>Cantidad de Trituradoras de Mandíbulas: 1</v>
      </c>
      <c r="D13" s="170"/>
      <c r="E13" s="170"/>
      <c r="F13" s="170"/>
      <c r="G13" s="170"/>
      <c r="H13" s="171"/>
    </row>
    <row r="14" spans="2:8" x14ac:dyDescent="0.25">
      <c r="B14" s="169"/>
      <c r="C14" s="175"/>
      <c r="D14" s="170"/>
      <c r="E14" s="170"/>
      <c r="F14" s="170"/>
      <c r="G14" s="170"/>
      <c r="H14" s="171"/>
    </row>
    <row r="15" spans="2:8" x14ac:dyDescent="0.25">
      <c r="B15" s="169"/>
      <c r="C15" s="175" t="str">
        <f>CONCATENATE("Tipo de Trituradoras de Mandíbulas: Telsmith Nº ",DimensionadorTrit!Q21," con @ ",TEXT(DimensionadorTrit!R21, "# ?/?"))</f>
        <v xml:space="preserve">Tipo de Trituradoras de Mandíbulas: Telsmith Nº 20x36 con @ 5    </v>
      </c>
      <c r="D15" s="170"/>
      <c r="E15" s="170"/>
      <c r="F15" s="170"/>
      <c r="G15" s="170"/>
      <c r="H15" s="171"/>
    </row>
    <row r="16" spans="2:8" x14ac:dyDescent="0.25">
      <c r="B16" s="169"/>
      <c r="C16" s="175"/>
      <c r="D16" s="170"/>
      <c r="E16" s="170"/>
      <c r="F16" s="170"/>
      <c r="G16" s="170"/>
      <c r="H16" s="171"/>
    </row>
    <row r="17" spans="2:8" x14ac:dyDescent="0.25">
      <c r="B17" s="169"/>
      <c r="C17" s="175" t="str">
        <f>IFERROR(CONCATENATE("Cantidad de Trituradoras Cónicas: ",DimensionadorTrit!T22),"")</f>
        <v/>
      </c>
      <c r="D17" s="170"/>
      <c r="E17" s="170"/>
      <c r="F17" s="170"/>
      <c r="G17" s="170"/>
      <c r="H17" s="171"/>
    </row>
    <row r="18" spans="2:8" x14ac:dyDescent="0.25">
      <c r="B18" s="169"/>
      <c r="C18" s="175"/>
      <c r="D18" s="170"/>
      <c r="E18" s="170"/>
      <c r="F18" s="170"/>
      <c r="G18" s="170"/>
      <c r="H18" s="171"/>
    </row>
    <row r="19" spans="2:8" x14ac:dyDescent="0.25">
      <c r="B19" s="169"/>
      <c r="C19" s="175" t="str">
        <f>IFERROR(CONCATENATE("Tipo de Trituradoras Cónica: Telsmith Nº ",RIGHT(DimensionadorTrit!Q22,2)," con @ ",TEXT(DimensionadorTrit!R22, "# ?/?")," y manto ",DimensionadorTrit!S22),"")</f>
        <v/>
      </c>
      <c r="D19" s="170"/>
      <c r="E19" s="170"/>
      <c r="F19" s="170"/>
      <c r="G19" s="170"/>
      <c r="H19" s="171"/>
    </row>
    <row r="20" spans="2:8" x14ac:dyDescent="0.25">
      <c r="B20" s="169"/>
      <c r="C20" s="170"/>
      <c r="D20" s="170"/>
      <c r="E20" s="170"/>
      <c r="F20" s="170"/>
      <c r="G20" s="170"/>
      <c r="H20" s="171"/>
    </row>
    <row r="21" spans="2:8" x14ac:dyDescent="0.25">
      <c r="B21" s="169"/>
      <c r="C21" s="170"/>
      <c r="D21" s="170"/>
      <c r="E21" s="170"/>
      <c r="F21" s="170"/>
      <c r="G21" s="170"/>
      <c r="H21" s="171"/>
    </row>
    <row r="22" spans="2:8" x14ac:dyDescent="0.25">
      <c r="B22" s="169"/>
      <c r="C22" s="313" t="s">
        <v>217</v>
      </c>
      <c r="D22" s="170"/>
      <c r="E22" s="170"/>
      <c r="F22" s="170"/>
      <c r="G22" s="170"/>
      <c r="H22" s="171"/>
    </row>
    <row r="23" spans="2:8" ht="14.4" thickBot="1" x14ac:dyDescent="0.3">
      <c r="B23" s="169"/>
      <c r="C23" s="170"/>
      <c r="D23" s="170"/>
      <c r="E23" s="170"/>
      <c r="F23" s="170"/>
      <c r="G23" s="170"/>
      <c r="H23" s="171"/>
    </row>
    <row r="24" spans="2:8" ht="14.4" thickBot="1" x14ac:dyDescent="0.3">
      <c r="B24" s="169"/>
      <c r="C24" s="259" t="s">
        <v>231</v>
      </c>
      <c r="D24" s="260"/>
      <c r="E24" s="170"/>
      <c r="F24" s="170"/>
      <c r="G24" s="170"/>
      <c r="H24" s="171"/>
    </row>
    <row r="25" spans="2:8" ht="14.4" thickBot="1" x14ac:dyDescent="0.3">
      <c r="B25" s="169"/>
      <c r="C25" s="231" t="s">
        <v>230</v>
      </c>
      <c r="D25" s="232" t="s">
        <v>229</v>
      </c>
      <c r="E25" s="232" t="s">
        <v>153</v>
      </c>
      <c r="F25" s="235" t="s">
        <v>73</v>
      </c>
      <c r="G25" s="170"/>
      <c r="H25" s="171"/>
    </row>
    <row r="26" spans="2:8" x14ac:dyDescent="0.25">
      <c r="B26" s="169"/>
      <c r="C26" s="240">
        <f>'Iterador 80% y Analisis Gran.'!L9</f>
        <v>1.5</v>
      </c>
      <c r="D26" s="241">
        <f>'Iterador 80% y Analisis Gran.'!M9</f>
        <v>1</v>
      </c>
      <c r="E26" s="242" t="e">
        <f>F26/F29</f>
        <v>#N/A</v>
      </c>
      <c r="F26" s="243" t="e">
        <f>'Iterador 80% y Analisis Gran.'!R9</f>
        <v>#N/A</v>
      </c>
      <c r="G26" s="170"/>
      <c r="H26" s="171"/>
    </row>
    <row r="27" spans="2:8" x14ac:dyDescent="0.25">
      <c r="B27" s="169"/>
      <c r="C27" s="238">
        <f>'Iterador 80% y Analisis Gran.'!L10</f>
        <v>1</v>
      </c>
      <c r="D27" s="88">
        <f>'Iterador 80% y Analisis Gran.'!M10</f>
        <v>0.5</v>
      </c>
      <c r="E27" s="237" t="e">
        <f>F27/F29</f>
        <v>#N/A</v>
      </c>
      <c r="F27" s="239" t="e">
        <f>'Iterador 80% y Analisis Gran.'!R10</f>
        <v>#N/A</v>
      </c>
      <c r="G27" s="170"/>
      <c r="H27" s="171"/>
    </row>
    <row r="28" spans="2:8" ht="14.4" thickBot="1" x14ac:dyDescent="0.3">
      <c r="B28" s="169"/>
      <c r="C28" s="244">
        <f>'Iterador 80% y Analisis Gran.'!L11</f>
        <v>0.5</v>
      </c>
      <c r="D28" s="245">
        <f>'Iterador 80% y Analisis Gran.'!M11</f>
        <v>0</v>
      </c>
      <c r="E28" s="246" t="e">
        <f>F28/F29</f>
        <v>#N/A</v>
      </c>
      <c r="F28" s="247" t="e">
        <f>'Iterador 80% y Analisis Gran.'!R11</f>
        <v>#N/A</v>
      </c>
      <c r="G28" s="170"/>
      <c r="H28" s="171"/>
    </row>
    <row r="29" spans="2:8" ht="14.4" thickBot="1" x14ac:dyDescent="0.3">
      <c r="B29" s="169"/>
      <c r="C29" s="230" t="str">
        <f>'Iterador 80% y Analisis Gran.'!L12</f>
        <v>Total</v>
      </c>
      <c r="D29" s="233">
        <f>'Iterador 80% y Analisis Gran.'!M12</f>
        <v>0</v>
      </c>
      <c r="E29" s="234" t="e">
        <f>SUM(E26:E28)</f>
        <v>#N/A</v>
      </c>
      <c r="F29" s="236" t="e">
        <f>'Iterador 80% y Analisis Gran.'!R12</f>
        <v>#N/A</v>
      </c>
      <c r="G29" s="170"/>
      <c r="H29" s="171"/>
    </row>
    <row r="30" spans="2:8" x14ac:dyDescent="0.25">
      <c r="B30" s="169"/>
      <c r="C30" s="170"/>
      <c r="D30" s="170"/>
      <c r="E30" s="170"/>
      <c r="F30" s="170"/>
      <c r="G30" s="170"/>
      <c r="H30" s="171"/>
    </row>
    <row r="31" spans="2:8" x14ac:dyDescent="0.25">
      <c r="B31" s="169"/>
      <c r="C31" s="170"/>
      <c r="D31" s="170"/>
      <c r="E31" s="170"/>
      <c r="F31" s="170"/>
      <c r="G31" s="170"/>
      <c r="H31" s="171"/>
    </row>
    <row r="32" spans="2:8" x14ac:dyDescent="0.25">
      <c r="B32" s="169"/>
      <c r="C32" s="170"/>
      <c r="D32" s="170"/>
      <c r="E32" s="170"/>
      <c r="F32" s="170"/>
      <c r="G32" s="170"/>
      <c r="H32" s="171"/>
    </row>
    <row r="33" spans="2:8" x14ac:dyDescent="0.25">
      <c r="B33" s="169"/>
      <c r="C33" s="170"/>
      <c r="D33" s="170"/>
      <c r="E33" s="170"/>
      <c r="F33" s="170"/>
      <c r="G33" s="170"/>
      <c r="H33" s="171"/>
    </row>
    <row r="34" spans="2:8" x14ac:dyDescent="0.25">
      <c r="B34" s="169"/>
      <c r="C34" s="170"/>
      <c r="D34" s="170"/>
      <c r="E34" s="170"/>
      <c r="F34" s="170"/>
      <c r="G34" s="170"/>
      <c r="H34" s="171"/>
    </row>
    <row r="35" spans="2:8" x14ac:dyDescent="0.25">
      <c r="B35" s="169"/>
      <c r="C35" s="170"/>
      <c r="D35" s="170"/>
      <c r="E35" s="170"/>
      <c r="F35" s="170"/>
      <c r="G35" s="170"/>
      <c r="H35" s="171"/>
    </row>
    <row r="36" spans="2:8" x14ac:dyDescent="0.25">
      <c r="B36" s="169"/>
      <c r="C36" s="170"/>
      <c r="D36" s="170"/>
      <c r="E36" s="170"/>
      <c r="F36" s="170"/>
      <c r="G36" s="170"/>
      <c r="H36" s="171"/>
    </row>
    <row r="37" spans="2:8" x14ac:dyDescent="0.25">
      <c r="B37" s="169"/>
      <c r="C37" s="170"/>
      <c r="D37" s="170"/>
      <c r="E37" s="170"/>
      <c r="F37" s="170"/>
      <c r="G37" s="170"/>
      <c r="H37" s="171"/>
    </row>
    <row r="38" spans="2:8" x14ac:dyDescent="0.25">
      <c r="B38" s="169"/>
      <c r="C38" s="170"/>
      <c r="D38" s="170"/>
      <c r="E38" s="170"/>
      <c r="F38" s="170"/>
      <c r="G38" s="170"/>
      <c r="H38" s="171"/>
    </row>
    <row r="39" spans="2:8" x14ac:dyDescent="0.25">
      <c r="B39" s="169"/>
      <c r="C39" s="170"/>
      <c r="D39" s="170"/>
      <c r="E39" s="170"/>
      <c r="F39" s="170"/>
      <c r="G39" s="170"/>
      <c r="H39" s="171"/>
    </row>
    <row r="40" spans="2:8" x14ac:dyDescent="0.25">
      <c r="B40" s="169"/>
      <c r="C40" s="170"/>
      <c r="D40" s="170"/>
      <c r="E40" s="170"/>
      <c r="F40" s="170"/>
      <c r="G40" s="170"/>
      <c r="H40" s="171"/>
    </row>
    <row r="41" spans="2:8" x14ac:dyDescent="0.25">
      <c r="B41" s="169"/>
      <c r="C41" s="170"/>
      <c r="D41" s="170"/>
      <c r="E41" s="170"/>
      <c r="F41" s="170"/>
      <c r="G41" s="170"/>
      <c r="H41" s="171"/>
    </row>
    <row r="42" spans="2:8" x14ac:dyDescent="0.25">
      <c r="B42" s="169"/>
      <c r="C42" s="170"/>
      <c r="D42" s="170"/>
      <c r="E42" s="170"/>
      <c r="F42" s="170"/>
      <c r="G42" s="170"/>
      <c r="H42" s="171"/>
    </row>
    <row r="43" spans="2:8" x14ac:dyDescent="0.25">
      <c r="B43" s="169"/>
      <c r="C43" s="170"/>
      <c r="D43" s="170"/>
      <c r="E43" s="170"/>
      <c r="F43" s="170"/>
      <c r="G43" s="170"/>
      <c r="H43" s="171"/>
    </row>
    <row r="44" spans="2:8" x14ac:dyDescent="0.25">
      <c r="B44" s="169"/>
      <c r="C44" s="170"/>
      <c r="D44" s="170"/>
      <c r="E44" s="170"/>
      <c r="F44" s="170"/>
      <c r="G44" s="170"/>
      <c r="H44" s="171"/>
    </row>
    <row r="45" spans="2:8" x14ac:dyDescent="0.25">
      <c r="B45" s="169"/>
      <c r="C45" s="170"/>
      <c r="D45" s="170"/>
      <c r="E45" s="170"/>
      <c r="F45" s="170"/>
      <c r="G45" s="170"/>
      <c r="H45" s="171"/>
    </row>
    <row r="46" spans="2:8" x14ac:dyDescent="0.25">
      <c r="B46" s="169"/>
      <c r="C46" s="170"/>
      <c r="D46" s="170"/>
      <c r="E46" s="170"/>
      <c r="F46" s="170"/>
      <c r="G46" s="170"/>
      <c r="H46" s="171"/>
    </row>
    <row r="47" spans="2:8" x14ac:dyDescent="0.25">
      <c r="B47" s="169"/>
      <c r="C47" s="170"/>
      <c r="D47" s="170"/>
      <c r="E47" s="170"/>
      <c r="F47" s="170"/>
      <c r="G47" s="170"/>
      <c r="H47" s="171"/>
    </row>
    <row r="48" spans="2:8" x14ac:dyDescent="0.25">
      <c r="B48" s="169"/>
      <c r="C48" s="170"/>
      <c r="D48" s="170"/>
      <c r="E48" s="170"/>
      <c r="F48" s="170"/>
      <c r="G48" s="170"/>
      <c r="H48" s="171"/>
    </row>
    <row r="49" spans="1:9" x14ac:dyDescent="0.25">
      <c r="B49" s="169"/>
      <c r="C49" s="170"/>
      <c r="D49" s="170"/>
      <c r="E49" s="170"/>
      <c r="F49" s="170"/>
      <c r="G49" s="170"/>
      <c r="H49" s="171"/>
    </row>
    <row r="50" spans="1:9" ht="14.4" thickBot="1" x14ac:dyDescent="0.3">
      <c r="B50" s="172"/>
      <c r="C50" s="173"/>
      <c r="D50" s="173"/>
      <c r="E50" s="173"/>
      <c r="F50" s="173"/>
      <c r="G50" s="173"/>
      <c r="H50" s="174"/>
    </row>
    <row r="51" spans="1:9" x14ac:dyDescent="0.25">
      <c r="B51" s="121"/>
      <c r="C51" s="121"/>
      <c r="D51" s="121"/>
      <c r="E51" s="121"/>
      <c r="F51" s="121"/>
      <c r="G51" s="121"/>
      <c r="H51" s="121"/>
      <c r="I51" s="121"/>
    </row>
    <row r="52" spans="1:9" x14ac:dyDescent="0.25">
      <c r="A52" s="121"/>
      <c r="B52" s="121"/>
      <c r="C52" s="121"/>
      <c r="D52" s="121"/>
      <c r="E52" s="121"/>
      <c r="F52" s="121"/>
      <c r="G52" s="121"/>
      <c r="H52" s="121"/>
      <c r="I52" s="121"/>
    </row>
    <row r="53" spans="1:9" x14ac:dyDescent="0.25">
      <c r="A53" s="121"/>
      <c r="B53" s="121"/>
      <c r="C53" s="121"/>
      <c r="D53" s="121"/>
      <c r="E53" s="121"/>
      <c r="F53" s="121"/>
      <c r="G53" s="121"/>
      <c r="H53" s="121"/>
      <c r="I53" s="121"/>
    </row>
    <row r="54" spans="1:9" x14ac:dyDescent="0.25">
      <c r="A54" s="121"/>
      <c r="B54" s="121"/>
      <c r="C54" s="121"/>
      <c r="D54" s="121"/>
      <c r="E54" s="121"/>
      <c r="F54" s="121"/>
      <c r="G54" s="121"/>
      <c r="H54" s="121"/>
      <c r="I54" s="121"/>
    </row>
    <row r="55" spans="1:9" x14ac:dyDescent="0.25">
      <c r="A55" s="121"/>
      <c r="B55" s="121"/>
      <c r="C55" s="121"/>
      <c r="D55" s="121"/>
      <c r="E55" s="121"/>
      <c r="F55" s="121"/>
      <c r="G55" s="121"/>
      <c r="H55" s="121"/>
      <c r="I55" s="121"/>
    </row>
    <row r="56" spans="1:9" x14ac:dyDescent="0.25">
      <c r="A56" s="121"/>
      <c r="B56" s="121"/>
      <c r="C56" s="121"/>
      <c r="D56" s="121"/>
      <c r="E56" s="121"/>
      <c r="F56" s="121"/>
      <c r="G56" s="121"/>
      <c r="H56" s="121"/>
      <c r="I56" s="121"/>
    </row>
    <row r="57" spans="1:9" x14ac:dyDescent="0.25">
      <c r="A57" s="121"/>
      <c r="B57" s="121"/>
      <c r="C57" s="121"/>
      <c r="D57" s="121"/>
      <c r="E57" s="121"/>
      <c r="F57" s="121"/>
      <c r="G57" s="121"/>
      <c r="H57" s="121"/>
      <c r="I57" s="121"/>
    </row>
    <row r="58" spans="1:9" x14ac:dyDescent="0.25">
      <c r="A58" s="121"/>
      <c r="B58" s="121"/>
      <c r="C58" s="121"/>
      <c r="D58" s="121"/>
      <c r="E58" s="121"/>
      <c r="F58" s="121"/>
      <c r="G58" s="121"/>
      <c r="H58" s="121"/>
      <c r="I58" s="121"/>
    </row>
    <row r="59" spans="1:9" x14ac:dyDescent="0.25">
      <c r="A59" s="121"/>
      <c r="B59" s="121"/>
      <c r="C59" s="121"/>
      <c r="D59" s="121"/>
      <c r="E59" s="121"/>
      <c r="F59" s="121"/>
      <c r="G59" s="121"/>
      <c r="H59" s="121"/>
      <c r="I59" s="121"/>
    </row>
  </sheetData>
  <mergeCells count="3">
    <mergeCell ref="B3:H4"/>
    <mergeCell ref="G2:H2"/>
    <mergeCell ref="C24:D24"/>
  </mergeCells>
  <pageMargins left="0.25" right="0.25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AN392"/>
  <sheetViews>
    <sheetView topLeftCell="N1" zoomScale="85" zoomScaleNormal="85" workbookViewId="0">
      <selection activeCell="V21" sqref="V21"/>
    </sheetView>
  </sheetViews>
  <sheetFormatPr baseColWidth="10" defaultColWidth="10.90625" defaultRowHeight="13.8" x14ac:dyDescent="0.25"/>
  <cols>
    <col min="1" max="1" width="23" customWidth="1"/>
    <col min="6" max="6" width="10.08984375" customWidth="1"/>
    <col min="7" max="7" width="8.90625" customWidth="1"/>
    <col min="10" max="10" width="19.36328125" bestFit="1" customWidth="1"/>
    <col min="11" max="11" width="14.08984375" bestFit="1" customWidth="1"/>
    <col min="12" max="12" width="7.7265625" style="121" bestFit="1" customWidth="1"/>
    <col min="13" max="13" width="8.26953125" style="121" customWidth="1"/>
    <col min="14" max="14" width="10.90625" customWidth="1"/>
    <col min="15" max="15" width="11.6328125" bestFit="1" customWidth="1"/>
    <col min="16" max="16" width="11.6328125" customWidth="1"/>
    <col min="17" max="17" width="11.08984375" customWidth="1"/>
    <col min="18" max="18" width="8.6328125" customWidth="1"/>
    <col min="19" max="19" width="9.90625" customWidth="1"/>
    <col min="20" max="22" width="11.36328125" customWidth="1"/>
    <col min="23" max="23" width="8.08984375" bestFit="1" customWidth="1"/>
    <col min="24" max="24" width="8.08984375" style="121" hidden="1" customWidth="1"/>
    <col min="25" max="25" width="4.08984375" hidden="1" customWidth="1"/>
    <col min="26" max="26" width="4.08984375" style="121" hidden="1" customWidth="1"/>
    <col min="27" max="27" width="9.36328125" customWidth="1"/>
    <col min="28" max="32" width="10.90625" customWidth="1"/>
    <col min="33" max="33" width="4.90625" customWidth="1"/>
    <col min="34" max="34" width="6.36328125" customWidth="1"/>
    <col min="35" max="35" width="4.90625" customWidth="1"/>
    <col min="36" max="36" width="11.36328125" customWidth="1"/>
    <col min="37" max="37" width="7.08984375" customWidth="1"/>
    <col min="38" max="38" width="4.90625" customWidth="1"/>
    <col min="39" max="40" width="10.90625" customWidth="1"/>
  </cols>
  <sheetData>
    <row r="1" spans="1:40" ht="14.4" x14ac:dyDescent="0.3">
      <c r="A1" s="267" t="s">
        <v>159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7"/>
      <c r="P1" s="267"/>
      <c r="Q1" s="267"/>
      <c r="R1" s="267"/>
      <c r="S1" s="267"/>
      <c r="T1" s="267"/>
      <c r="U1" s="267"/>
      <c r="V1" s="267"/>
      <c r="W1" s="267"/>
      <c r="X1" s="267"/>
      <c r="Y1" s="267"/>
      <c r="Z1" s="139"/>
      <c r="AH1" s="264" t="s">
        <v>194</v>
      </c>
      <c r="AI1" s="264"/>
      <c r="AJ1" s="7"/>
      <c r="AK1" s="7"/>
    </row>
    <row r="2" spans="1:40" ht="14.4" x14ac:dyDescent="0.3">
      <c r="A2" s="267"/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139"/>
      <c r="AH2" s="7">
        <f>+INDEX($U$33:$V$43,MATCH(Q34,$U$33:$U$43,1),1)</f>
        <v>0.9</v>
      </c>
      <c r="AI2">
        <f>+VLOOKUP(AH2,$U$33:$V$43,2,0)</f>
        <v>0.2</v>
      </c>
      <c r="AJ2" s="7"/>
      <c r="AK2" s="7"/>
    </row>
    <row r="3" spans="1:40" ht="14.4" x14ac:dyDescent="0.3">
      <c r="E3" s="281" t="s">
        <v>177</v>
      </c>
      <c r="F3" s="281"/>
      <c r="G3" s="281"/>
      <c r="H3" s="281"/>
      <c r="I3" s="281"/>
      <c r="J3" s="281"/>
      <c r="K3" s="281"/>
      <c r="L3" s="281"/>
      <c r="M3" s="281"/>
      <c r="N3" s="281"/>
      <c r="O3" s="281"/>
      <c r="P3" s="281"/>
      <c r="Q3" s="281"/>
      <c r="R3" s="281"/>
      <c r="S3" s="281"/>
      <c r="T3" s="281"/>
      <c r="U3" s="281"/>
      <c r="V3" s="281"/>
      <c r="W3" s="281"/>
      <c r="X3" s="281"/>
      <c r="Y3" s="281"/>
      <c r="Z3" s="281"/>
      <c r="AA3" s="281"/>
      <c r="AB3" s="281"/>
      <c r="AH3" s="7" cm="1">
        <f t="array" ref="AH3">+INDEX($U$33:$V$43,MATCH(Q34,$U$33:$U$43,1)+1,1)</f>
        <v>1.1000000000000001</v>
      </c>
      <c r="AI3" s="121">
        <f t="shared" ref="AI3:AI7" si="0">+VLOOKUP(AH3,$U$33:$V$43,2,0)</f>
        <v>0.3</v>
      </c>
      <c r="AJ3" s="7"/>
      <c r="AK3" s="7"/>
    </row>
    <row r="4" spans="1:40" ht="14.4" x14ac:dyDescent="0.3">
      <c r="A4" s="14" t="s">
        <v>99</v>
      </c>
      <c r="B4" s="15" t="s">
        <v>73</v>
      </c>
      <c r="C4" s="19">
        <f>C5/1.1023</f>
        <v>136.07910732105597</v>
      </c>
      <c r="D4" s="15" t="s">
        <v>74</v>
      </c>
      <c r="E4" s="7"/>
      <c r="P4" s="31"/>
      <c r="Q4" s="7"/>
      <c r="R4" s="7"/>
      <c r="S4" s="7"/>
      <c r="T4" s="7"/>
      <c r="U4" s="7"/>
      <c r="V4" s="7"/>
      <c r="W4" s="7"/>
      <c r="X4" s="140"/>
      <c r="Y4" s="7"/>
      <c r="Z4" s="140"/>
      <c r="AA4" s="7"/>
      <c r="AB4" s="7"/>
      <c r="AC4" s="7"/>
      <c r="AD4" s="7"/>
      <c r="AE4" s="7"/>
      <c r="AF4" s="7"/>
      <c r="AG4" s="7"/>
      <c r="AH4" s="7">
        <f>+INDEX($U$33:$V$43,MATCH(Q35,$U$33:$U$43,1),1)</f>
        <v>0</v>
      </c>
      <c r="AI4" s="121">
        <f t="shared" si="0"/>
        <v>0</v>
      </c>
      <c r="AJ4" s="7"/>
      <c r="AK4" s="7"/>
      <c r="AL4" s="7"/>
      <c r="AM4" s="7"/>
      <c r="AN4" s="7"/>
    </row>
    <row r="5" spans="1:40" ht="14.4" x14ac:dyDescent="0.3">
      <c r="A5" s="14" t="s">
        <v>100</v>
      </c>
      <c r="B5" s="15" t="s">
        <v>73</v>
      </c>
      <c r="C5" s="127">
        <f>Inputs!E5</f>
        <v>150</v>
      </c>
      <c r="D5" s="15" t="s">
        <v>75</v>
      </c>
      <c r="E5" s="7"/>
      <c r="F5" s="277" t="s">
        <v>160</v>
      </c>
      <c r="G5" s="277"/>
      <c r="H5" s="277"/>
      <c r="I5" s="277"/>
      <c r="J5" s="277"/>
      <c r="K5" s="277"/>
      <c r="L5" s="277"/>
      <c r="M5" s="277"/>
      <c r="N5" s="277"/>
      <c r="P5" s="277" t="s">
        <v>176</v>
      </c>
      <c r="Q5" s="277"/>
      <c r="R5" s="277"/>
      <c r="S5" s="278"/>
      <c r="T5" s="278"/>
      <c r="U5" s="278"/>
      <c r="V5" s="278"/>
      <c r="W5" s="7"/>
      <c r="X5" s="140"/>
      <c r="Y5" s="7"/>
      <c r="Z5" s="140"/>
      <c r="AA5" s="7"/>
      <c r="AB5" s="7"/>
      <c r="AC5" s="7"/>
      <c r="AD5" s="7"/>
      <c r="AE5" s="7"/>
      <c r="AF5" s="7"/>
      <c r="AG5" s="7"/>
      <c r="AH5" s="7" cm="1">
        <f t="array" ref="AH5">+INDEX($U$33:$V$43,MATCH(Q35,$U$33:$U$43,1)+1,1)</f>
        <v>0.6</v>
      </c>
      <c r="AI5" s="121">
        <f t="shared" si="0"/>
        <v>0.1</v>
      </c>
      <c r="AJ5" s="7"/>
      <c r="AK5" s="7"/>
      <c r="AL5" s="7"/>
      <c r="AM5" s="7"/>
      <c r="AN5" s="7"/>
    </row>
    <row r="6" spans="1:40" ht="14.4" x14ac:dyDescent="0.3">
      <c r="A6" s="14" t="s">
        <v>101</v>
      </c>
      <c r="B6" s="15" t="s">
        <v>73</v>
      </c>
      <c r="C6" s="127">
        <f>+C5/C8</f>
        <v>150</v>
      </c>
      <c r="D6" s="15" t="s">
        <v>75</v>
      </c>
      <c r="E6" s="7"/>
      <c r="P6" s="31"/>
      <c r="Q6" s="7"/>
      <c r="R6" s="7"/>
      <c r="S6" s="279" t="s">
        <v>161</v>
      </c>
      <c r="T6" s="279"/>
      <c r="U6" s="279"/>
      <c r="V6" s="279"/>
      <c r="W6" s="7"/>
      <c r="X6" s="140"/>
      <c r="Y6" s="7"/>
      <c r="Z6" s="140"/>
      <c r="AA6" s="7"/>
      <c r="AB6" s="7"/>
      <c r="AC6" s="102" t="s">
        <v>14</v>
      </c>
      <c r="AD6" s="7"/>
      <c r="AE6" s="7"/>
      <c r="AF6" s="7"/>
      <c r="AG6" s="7"/>
      <c r="AH6" s="7">
        <f>+INDEX($U$33:$V$43,MATCH(Q36,$U$33:$U$43,1),1)</f>
        <v>0</v>
      </c>
      <c r="AI6" s="121">
        <f t="shared" si="0"/>
        <v>0</v>
      </c>
      <c r="AJ6" s="7"/>
      <c r="AK6" s="7"/>
      <c r="AL6" s="7"/>
      <c r="AM6" s="7"/>
      <c r="AN6" s="7"/>
    </row>
    <row r="7" spans="1:40" ht="14.4" x14ac:dyDescent="0.3">
      <c r="A7" s="14" t="s">
        <v>0</v>
      </c>
      <c r="B7" s="269" t="str">
        <f>Inputs!E7</f>
        <v>Piedra de abesto</v>
      </c>
      <c r="C7" s="270"/>
      <c r="D7" s="271"/>
      <c r="E7" s="7"/>
      <c r="F7" s="276" t="s">
        <v>166</v>
      </c>
      <c r="G7" s="276"/>
      <c r="H7" s="84" t="str">
        <f>IF(D22&gt;15,0.9*C6,"no hace falta esta parte, solo mirar mandibulas")</f>
        <v>no hace falta esta parte, solo mirar mandibulas</v>
      </c>
      <c r="O7" s="13"/>
      <c r="P7" s="46" t="s">
        <v>178</v>
      </c>
      <c r="Q7" s="46" t="s">
        <v>42</v>
      </c>
      <c r="R7" s="46" t="s">
        <v>179</v>
      </c>
      <c r="S7" s="46" t="s">
        <v>180</v>
      </c>
      <c r="T7" s="46" t="s">
        <v>119</v>
      </c>
      <c r="U7" s="45" t="s">
        <v>150</v>
      </c>
      <c r="V7" s="45" t="s">
        <v>46</v>
      </c>
      <c r="W7" s="7"/>
      <c r="X7" s="140"/>
      <c r="Y7" s="7"/>
      <c r="Z7" s="140"/>
      <c r="AA7" s="7"/>
      <c r="AB7" s="7"/>
      <c r="AC7" s="102" t="str">
        <f>+TEXT(VLOOKUP(MAX($O$8:$O$13),$O$8:$V$13,6,0),"# ?/?")</f>
        <v xml:space="preserve">5    </v>
      </c>
      <c r="AD7" s="51" t="s">
        <v>158</v>
      </c>
      <c r="AE7" s="7"/>
      <c r="AF7" s="7"/>
      <c r="AG7" s="7"/>
      <c r="AH7" s="7" cm="1">
        <f t="array" ref="AH7">+INDEX($U$33:$V$43,MATCH(Q36,$U$33:$U$43,1)+1,1)</f>
        <v>0.6</v>
      </c>
      <c r="AI7" s="121">
        <f t="shared" si="0"/>
        <v>0.1</v>
      </c>
      <c r="AJ7" s="7"/>
      <c r="AK7" s="7"/>
      <c r="AL7" s="7"/>
      <c r="AM7" s="7"/>
      <c r="AN7" s="7"/>
    </row>
    <row r="8" spans="1:40" ht="14.4" x14ac:dyDescent="0.3">
      <c r="A8" s="14" t="s">
        <v>76</v>
      </c>
      <c r="B8" s="15" t="s">
        <v>77</v>
      </c>
      <c r="C8" s="16">
        <v>1</v>
      </c>
      <c r="D8" s="17" t="s">
        <v>71</v>
      </c>
      <c r="E8" s="7"/>
      <c r="O8" s="90">
        <f>+IF(Z8=MIN($Z$8:$Z$13),1,0)</f>
        <v>0</v>
      </c>
      <c r="P8" s="288" t="str">
        <f>+VLOOKUP(1,$E$17:$F$21,2)</f>
        <v>#66</v>
      </c>
      <c r="Q8" s="134" t="str">
        <f>IF($P$8="#24",INDEX(Trit.conicas.24[#All],2,3),IF($P$8="#36",INDEX(Trit.conicas.36[#All],2,3),IF($P$8="#48",INDEX(Trit.conicas.48[#All],2,3),INDEX(Trit.conicas.66[#All],2,3))))</f>
        <v>Course</v>
      </c>
      <c r="R8" s="114">
        <f>IF($P$8="#24",INDEX(Trit.conicas.24[#All],2,4),IF($P$8="#36",INDEX(Trit.conicas.36[#All],2,4),IF($P$8="#48",INDEX(Trit.conicas.48[#All],2,4),INDEX(Trit.conicas.66[#All],2,4))))</f>
        <v>11</v>
      </c>
      <c r="S8" s="47">
        <v>1</v>
      </c>
      <c r="T8" s="48">
        <f>+INDEX('Curvas Granul. M'!$B$34:$C$40,MATCH(DimensionadorTrit!R8,'Curvas Granul. M'!$B$34:$B$40,1),2)</f>
        <v>3.5</v>
      </c>
      <c r="U8" s="47">
        <f>+IF(SUM(AG9:AG14)=1,VLOOKUP(1,$AG$9:$AK$14,4),MAX($AJ$9:$AJ$14))</f>
        <v>114</v>
      </c>
      <c r="V8" s="2" t="str">
        <f>+VLOOKUP(U8,$AJ$9:$AK$14,2)</f>
        <v>15x38</v>
      </c>
      <c r="W8" s="101" t="str">
        <f>+IF(U8&gt;=$C$6,"CUMPLE","NO SIRVE")</f>
        <v>NO SIRVE</v>
      </c>
      <c r="X8" s="121">
        <f>+ROUNDUP($C$6/U8,0)</f>
        <v>2</v>
      </c>
      <c r="Y8" s="7" t="str">
        <f>+IF(W8="cumple",VLOOKUP(V8,$AJ$40:$AK$49,2,0),"NO")</f>
        <v>NO</v>
      </c>
      <c r="Z8" s="140">
        <f>VLOOKUP(V8,$AJ$40:$AK$49,2,0)*X8</f>
        <v>1140</v>
      </c>
      <c r="AA8" s="2" t="str">
        <f>+_xlfn.TEXTJOIN(" ",0,"NECESITO",X8)</f>
        <v>NECESITO 2</v>
      </c>
      <c r="AB8" s="7"/>
      <c r="AC8" s="85">
        <f>+HLOOKUP($AC$7,IF($O$8+$O$10+$O$12+$O$14=1,Curvas_gran_graf_1[#All],Curvas_gran_graf_2[#All]),2,0)</f>
        <v>0</v>
      </c>
      <c r="AD8" s="119">
        <v>0</v>
      </c>
      <c r="AE8" s="7"/>
      <c r="AF8" s="7"/>
      <c r="AG8" s="7"/>
      <c r="AH8" s="100" t="s">
        <v>149</v>
      </c>
      <c r="AI8" s="46" t="s">
        <v>119</v>
      </c>
      <c r="AJ8" s="100" t="s">
        <v>150</v>
      </c>
      <c r="AK8" s="100" t="s">
        <v>46</v>
      </c>
      <c r="AL8" s="7"/>
      <c r="AM8" s="7"/>
      <c r="AN8" s="7"/>
    </row>
    <row r="9" spans="1:40" ht="14.4" x14ac:dyDescent="0.3">
      <c r="A9" s="14" t="s">
        <v>87</v>
      </c>
      <c r="B9" s="15" t="s">
        <v>88</v>
      </c>
      <c r="C9" s="16">
        <f>Inputs!E9</f>
        <v>20</v>
      </c>
      <c r="D9" s="15" t="s">
        <v>78</v>
      </c>
      <c r="E9" s="7"/>
      <c r="F9" s="45" t="s">
        <v>118</v>
      </c>
      <c r="G9" s="46" t="s">
        <v>119</v>
      </c>
      <c r="H9" s="45" t="s">
        <v>173</v>
      </c>
      <c r="O9" s="90">
        <f t="shared" ref="O9" si="1">+IF(Z9=MIN($Z$8:$Z$13),1,0)</f>
        <v>1</v>
      </c>
      <c r="P9" s="289"/>
      <c r="Q9" s="134" t="str">
        <f>+Q8</f>
        <v>Course</v>
      </c>
      <c r="R9" s="114">
        <f>IF($P$8="#24",INDEX(Trit.conicas.24[#All],2,4),IF($P$8="#36",INDEX(Trit.conicas.36[#All],2,4),IF($P$8="#48",INDEX(Trit.conicas.48[#All],2,4),INDEX(Trit.conicas.66[#All],2,4))))</f>
        <v>11</v>
      </c>
      <c r="S9" s="47">
        <v>2</v>
      </c>
      <c r="T9" s="48">
        <f>+INDEX('Curvas Granul. M'!$F$34:$G$46,MATCH(DimensionadorTrit!R9,'Curvas Granul. M'!$F$34:$F$46,1),2)</f>
        <v>7</v>
      </c>
      <c r="U9" s="47">
        <f>+IF(SUM(AG15:AG18)=1,VLOOKUP(1,$AG$15:$AK$18,4,0),MAX($AJ$15:$AJ$18))</f>
        <v>280</v>
      </c>
      <c r="V9" s="2" t="str">
        <f>+VLOOKUP(U9,$AJ$15:$AK$18,2)</f>
        <v>20x36</v>
      </c>
      <c r="W9" s="121" t="str">
        <f t="shared" ref="W9:W13" si="2">+IF(U9&gt;=$C$6,"CUMPLE","NO SIRVE")</f>
        <v>CUMPLE</v>
      </c>
      <c r="X9" s="121">
        <f t="shared" ref="X9:X13" si="3">+ROUNDUP($C$6/U9,0)</f>
        <v>1</v>
      </c>
      <c r="Y9" s="7">
        <f>+IF(W9="cumple",VLOOKUP(V9,$AJ$40:$AK$49,2,0),"NO")</f>
        <v>720</v>
      </c>
      <c r="Z9" s="140">
        <f t="shared" ref="Z9:Z11" si="4">VLOOKUP(V9,$AJ$40:$AK$49,2,0)*X9</f>
        <v>720</v>
      </c>
      <c r="AA9" s="2" t="str">
        <f t="shared" ref="AA9:AA13" si="5">+_xlfn.TEXTJOIN(" ",0,"NECESITO",X9)</f>
        <v>NECESITO 1</v>
      </c>
      <c r="AB9" s="7"/>
      <c r="AC9" s="85">
        <f>+HLOOKUP($AC$7,IF($O$8+$O$10+$O$12+$O$14=1,Curvas_gran_graf_1[#All],Curvas_gran_graf_2[#All]),3,0)</f>
        <v>2</v>
      </c>
      <c r="AD9" s="119">
        <v>0.1</v>
      </c>
      <c r="AE9" s="7"/>
      <c r="AF9" s="7"/>
      <c r="AG9" s="7">
        <f t="shared" ref="AG9:AG14" si="6">+IF(AL9=MIN($AL$9:$AL$14),1,0)</f>
        <v>0</v>
      </c>
      <c r="AH9" s="116">
        <v>1</v>
      </c>
      <c r="AI9" s="117">
        <f>+$T$8</f>
        <v>3.5</v>
      </c>
      <c r="AJ9" s="118">
        <f>+IF($G$32="Dura",VLOOKUP(AI9,Q_Mandibula1_Duro[],2),IF($G$32="Media",VLOOKUP(AI9,Q_Mandibula1_medio[],2),VLOOKUP(AI9,Q_Mandibula1_blando[],2)))</f>
        <v>0</v>
      </c>
      <c r="AK9" s="118" t="s">
        <v>4</v>
      </c>
      <c r="AL9" s="7" t="str">
        <f>+IF(AJ9&gt;$C$6,(AJ9-$C$6),"NO")</f>
        <v>NO</v>
      </c>
      <c r="AM9" s="7">
        <v>1</v>
      </c>
      <c r="AN9" s="7"/>
    </row>
    <row r="10" spans="1:40" ht="14.4" x14ac:dyDescent="0.3">
      <c r="A10" s="14" t="s">
        <v>89</v>
      </c>
      <c r="B10" s="15" t="s">
        <v>83</v>
      </c>
      <c r="C10" s="74">
        <f>Inputs!E11</f>
        <v>1.5</v>
      </c>
      <c r="D10" s="15" t="s">
        <v>78</v>
      </c>
      <c r="E10" s="7"/>
      <c r="F10" s="85">
        <f>+INDEX('Curvas Granul. C'!$J$8:$L$14,MATCH(DimensionadorTrit!$C$10,'Curvas Granul. C'!$J$8:$J$14,1),1)</f>
        <v>1.1875</v>
      </c>
      <c r="G10" s="88" t="str">
        <f>+IF($D$22&gt;15,INDEX('Curvas Granul. C'!$J$8:$L$14,MATCH(DimensionadorTrit!$C$10,'Curvas Granul. C'!$J$8:$J$14,1),2),"no")</f>
        <v>no</v>
      </c>
      <c r="H10" s="85" t="str">
        <f>+INDEX('Curvas Granul. C'!$J$8:$L$14,MATCH(DimensionadorTrit!$C$10,'Curvas Granul. C'!$J$8:$J$14,1),3)</f>
        <v>#24</v>
      </c>
      <c r="O10" s="90">
        <f>+IF(Z10=MIN($Z$8:$Z$13),2,0)</f>
        <v>0</v>
      </c>
      <c r="P10" s="289"/>
      <c r="Q10" s="134" t="str">
        <f>IF($P$8="#24",INDEX(Trit.conicas.24[#All],3,3),IF($P$8="#36",INDEX(Trit.conicas.36[#All],3,3),IF($P$8="#48",INDEX(Trit.conicas.48[#All],3,3),INDEX(Trit.conicas.66[#All],3,3))))</f>
        <v>Medium</v>
      </c>
      <c r="R10" s="114">
        <f>IF($P$8="#24",INDEX(Trit.conicas.24[#All],3,4),IF($P$8="#36",INDEX(Trit.conicas.36[#All],3,4),IF($P$8="#48",INDEX(Trit.conicas.48[#All],3,4),INDEX(Trit.conicas.66[#All],3,4))))</f>
        <v>9</v>
      </c>
      <c r="S10" s="47">
        <v>1</v>
      </c>
      <c r="T10" s="48">
        <f>+INDEX('Curvas Granul. M'!$B$34:$C$40,MATCH(DimensionadorTrit!R10,'Curvas Granul. M'!$B$34:$B$40,1),2)</f>
        <v>3.5</v>
      </c>
      <c r="U10" s="47">
        <f>+IF(SUM(AG19:AG24)=1,VLOOKUP(1,$AG$19:$AK$24,4,0),MAX($AJ$19:$AJ$24))</f>
        <v>114</v>
      </c>
      <c r="V10" s="2" t="str">
        <f>+VLOOKUP(U10,$AJ$19:$AK$24,2)</f>
        <v>15x38</v>
      </c>
      <c r="W10" s="121" t="str">
        <f t="shared" si="2"/>
        <v>NO SIRVE</v>
      </c>
      <c r="X10" s="121">
        <f t="shared" si="3"/>
        <v>2</v>
      </c>
      <c r="Y10" s="7" t="str">
        <f t="shared" ref="Y10:Y12" si="7">+IF(W10="cumple",VLOOKUP(V10,$AJ$40:$AK$49,2,0),"NO")</f>
        <v>NO</v>
      </c>
      <c r="Z10" s="140">
        <f t="shared" si="4"/>
        <v>1140</v>
      </c>
      <c r="AA10" s="2" t="str">
        <f t="shared" si="5"/>
        <v>NECESITO 2</v>
      </c>
      <c r="AB10" s="7"/>
      <c r="AC10" s="85">
        <f>+HLOOKUP($AC$7,IF($O$8+$O$10+$O$12+$O$14=1,Curvas_gran_graf_1[#All],Curvas_gran_graf_2[#All]),4,0)</f>
        <v>3</v>
      </c>
      <c r="AD10" s="119">
        <v>0.2</v>
      </c>
      <c r="AE10" s="7"/>
      <c r="AF10" s="7"/>
      <c r="AG10" s="7">
        <f t="shared" si="6"/>
        <v>0</v>
      </c>
      <c r="AH10" s="116">
        <v>1</v>
      </c>
      <c r="AI10" s="117">
        <f t="shared" ref="AI10:AI14" si="8">+$T$8</f>
        <v>3.5</v>
      </c>
      <c r="AJ10" s="118">
        <f>+IF($G$32="Dura",VLOOKUP(AI10,Q_Mandibula1_Duro[],3),IF($G$32="Media",VLOOKUP(AI10,Q_Mandibula1_medio[],3),VLOOKUP(AI10,Q_Mandibula1_blando[],3)))</f>
        <v>0</v>
      </c>
      <c r="AK10" s="118" t="s">
        <v>5</v>
      </c>
      <c r="AL10" s="7" t="str">
        <f t="shared" ref="AL10:AL37" si="9">+IF(AJ10&gt;$C$6,(AJ10-$C$6),"NO")</f>
        <v>NO</v>
      </c>
      <c r="AM10" s="7">
        <v>1</v>
      </c>
      <c r="AN10" s="7"/>
    </row>
    <row r="11" spans="1:40" ht="14.4" x14ac:dyDescent="0.3">
      <c r="A11" s="14" t="s">
        <v>90</v>
      </c>
      <c r="B11" s="15" t="s">
        <v>79</v>
      </c>
      <c r="C11" s="74">
        <f>Inputs!E13</f>
        <v>1</v>
      </c>
      <c r="D11" s="15" t="s">
        <v>78</v>
      </c>
      <c r="E11" s="7"/>
      <c r="F11" s="85">
        <f>+INDEX(C.granul.max.g4[],MATCH($C$10,C.granul.max.g4[100%],1),1)</f>
        <v>1.1875</v>
      </c>
      <c r="G11" s="88">
        <f>+INDEX(C.granul.max.g4[],MATCH($C$10,C.granul.max.g4[100%],1),2)</f>
        <v>0.75</v>
      </c>
      <c r="H11" s="85" t="str">
        <f>+INDEX(C.granul.max.g4[],MATCH($C$10,C.granul.max.g4[100%],1),3)</f>
        <v>#36</v>
      </c>
      <c r="I11" s="75"/>
      <c r="O11" s="90">
        <f>+IF(Z11=MIN($Z$8:$Z$13),2,0)</f>
        <v>2</v>
      </c>
      <c r="P11" s="289"/>
      <c r="Q11" s="134" t="str">
        <f>+Q10</f>
        <v>Medium</v>
      </c>
      <c r="R11" s="114">
        <f>IF($P$8="#24",INDEX(Trit.conicas.24[#All],3,4),IF($P$8="#36",INDEX(Trit.conicas.36[#All],3,4),IF($P$8="#48",INDEX(Trit.conicas.48[#All],3,4),INDEX(Trit.conicas.66[#All],3,4))))</f>
        <v>9</v>
      </c>
      <c r="S11" s="47">
        <v>2</v>
      </c>
      <c r="T11" s="48">
        <f>+INDEX('Curvas Granul. M'!$F$34:$G$46,MATCH(DimensionadorTrit!R11,'Curvas Granul. M'!$F$34:$F$46,1),2)</f>
        <v>5</v>
      </c>
      <c r="U11" s="47">
        <f>+IF(SUM(AG25:AG28)=1,VLOOKUP(1,$AG$25:$AK$28,4,0),MAX($AJ$25:$AJ$28))</f>
        <v>200</v>
      </c>
      <c r="V11" s="2" t="str">
        <f>+VLOOKUP(U11,$AJ$25:$AK$28,2)</f>
        <v>20x36</v>
      </c>
      <c r="W11" s="121" t="str">
        <f t="shared" si="2"/>
        <v>CUMPLE</v>
      </c>
      <c r="X11" s="121">
        <f t="shared" si="3"/>
        <v>1</v>
      </c>
      <c r="Y11" s="7">
        <f t="shared" si="7"/>
        <v>720</v>
      </c>
      <c r="Z11" s="140">
        <f t="shared" si="4"/>
        <v>720</v>
      </c>
      <c r="AA11" s="2" t="str">
        <f t="shared" si="5"/>
        <v>NECESITO 1</v>
      </c>
      <c r="AC11" s="286" t="e">
        <f>+IF(AD13&gt;VLOOKUP(1,$E$18:$H$21,4,0),"No verifica la conica, hay que probar otra","Verifica todo ")</f>
        <v>#N/A</v>
      </c>
      <c r="AD11" s="287"/>
      <c r="AE11" s="287"/>
      <c r="AF11" s="7"/>
      <c r="AG11" s="7">
        <f t="shared" si="6"/>
        <v>0</v>
      </c>
      <c r="AH11" s="116">
        <v>1</v>
      </c>
      <c r="AI11" s="117">
        <f t="shared" si="8"/>
        <v>3.5</v>
      </c>
      <c r="AJ11" s="118">
        <f>+IF($G$32="Dura",VLOOKUP(AI11,Q_Mandibula1_Duro[],4),IF($G$32="Media",VLOOKUP(AI11,Q_Mandibula1_medio[],4),VLOOKUP(AI11,Q_Mandibula1_blando[],4)))</f>
        <v>0</v>
      </c>
      <c r="AK11" s="118" t="s">
        <v>6</v>
      </c>
      <c r="AL11" s="7" t="str">
        <f t="shared" si="9"/>
        <v>NO</v>
      </c>
      <c r="AM11" s="7">
        <v>1</v>
      </c>
      <c r="AN11" s="7"/>
    </row>
    <row r="12" spans="1:40" ht="14.4" x14ac:dyDescent="0.3">
      <c r="A12" s="14" t="s">
        <v>91</v>
      </c>
      <c r="B12" s="15" t="s">
        <v>84</v>
      </c>
      <c r="C12" s="74">
        <f>Inputs!E13</f>
        <v>1</v>
      </c>
      <c r="D12" s="15" t="s">
        <v>78</v>
      </c>
      <c r="E12" s="7"/>
      <c r="F12" s="85">
        <f>+INDEX(C.granul.max.g5[],MATCH($C$10,C.granul.max.g5[100%],1),1)</f>
        <v>1.2</v>
      </c>
      <c r="G12" s="88">
        <f>+INDEX(C.granul.max.g5[],MATCH($C$10,C.granul.max.g5[100%],1),2)</f>
        <v>0.75</v>
      </c>
      <c r="H12" s="85" t="str">
        <f>+INDEX(C.granul.max.g5[],MATCH($C$10,C.granul.max.g5[100%],1),3)</f>
        <v>#48</v>
      </c>
      <c r="O12" s="90">
        <f>+IF(Z12=MIN($Z$8:$Z$13),3,0)</f>
        <v>0</v>
      </c>
      <c r="P12" s="289"/>
      <c r="Q12" s="134" t="str">
        <f>IF($P$8="#24",INDEX(Trit.conicas.24[#All],4,3),IF($P$8="#36",INDEX(Trit.conicas.36[#All],4,3),IF($P$8="#48",INDEX(Trit.conicas.48[#All],4,3),INDEX(Trit.conicas.66[#All],4,3))))</f>
        <v>Nada</v>
      </c>
      <c r="R12" s="114">
        <f>IF($P$8="#24",INDEX(Trit.conicas.24[#All],4,4),IF($P$8="#36",INDEX(Trit.conicas.36[#All],4,4),IF($P$8="#48",INDEX(Trit.conicas.48[#All],4,4),INDEX(Trit.conicas.66[#All],4,4))))</f>
        <v>0</v>
      </c>
      <c r="S12" s="47">
        <v>1</v>
      </c>
      <c r="T12" s="48" t="e">
        <f>+INDEX('Curvas Granul. M'!$B$34:$C$40,MATCH(DimensionadorTrit!R12,'Curvas Granul. M'!$B$34:$B$40,1),2)</f>
        <v>#N/A</v>
      </c>
      <c r="U12" s="47" t="e">
        <f>+IF(SUM(AG29:AG34)=1,VLOOKUP(1,$AG$29:$AK$34,4,0),MAX($AJ$29:$AJ$34))</f>
        <v>#N/A</v>
      </c>
      <c r="V12" s="2" t="e">
        <f>+VLOOKUP(U12,$AJ$29:$AK$34,2)</f>
        <v>#N/A</v>
      </c>
      <c r="W12" s="121" t="e">
        <f t="shared" si="2"/>
        <v>#N/A</v>
      </c>
      <c r="X12" s="121" t="e">
        <f t="shared" si="3"/>
        <v>#N/A</v>
      </c>
      <c r="Y12" s="7" t="e">
        <f t="shared" si="7"/>
        <v>#N/A</v>
      </c>
      <c r="Z12" s="140" t="str">
        <f>IFERROR(VLOOKUP(V12,$AJ$40:$AK$49,2,0)*X12,"NO")</f>
        <v>NO</v>
      </c>
      <c r="AA12" s="2" t="e">
        <f t="shared" si="5"/>
        <v>#N/A</v>
      </c>
      <c r="AC12" s="51" t="s">
        <v>192</v>
      </c>
      <c r="AD12" s="51" t="s">
        <v>193</v>
      </c>
      <c r="AE12" s="7"/>
      <c r="AF12" s="7"/>
      <c r="AG12" s="7">
        <f t="shared" si="6"/>
        <v>0</v>
      </c>
      <c r="AH12" s="116">
        <v>1</v>
      </c>
      <c r="AI12" s="117">
        <f t="shared" si="8"/>
        <v>3.5</v>
      </c>
      <c r="AJ12" s="118">
        <f>+IF($G$32="Dura",VLOOKUP(AI12,Q_Mandibula1_Duro[],5),IF($G$32="Media",VLOOKUP(AI12,Q_Mandibula1_medio[],5),VLOOKUP(AI12,Q_Mandibula1_blando[],5)))</f>
        <v>0</v>
      </c>
      <c r="AK12" s="118" t="s">
        <v>11</v>
      </c>
      <c r="AL12" s="7" t="str">
        <f t="shared" si="9"/>
        <v>NO</v>
      </c>
      <c r="AM12" s="7">
        <v>1</v>
      </c>
      <c r="AN12" s="7"/>
    </row>
    <row r="13" spans="1:40" ht="14.4" x14ac:dyDescent="0.3">
      <c r="A13" s="14" t="s">
        <v>92</v>
      </c>
      <c r="B13" s="15" t="s">
        <v>80</v>
      </c>
      <c r="C13" s="74">
        <f>Inputs!E15</f>
        <v>0.5</v>
      </c>
      <c r="D13" s="15" t="s">
        <v>78</v>
      </c>
      <c r="E13" s="7"/>
      <c r="F13" s="85">
        <f>+INDEX(C.granul.max.g6[],MATCH($C$10,C.granul.max.g6[100%],1),1)</f>
        <v>1.25</v>
      </c>
      <c r="G13" s="88">
        <f>+INDEX(C.granul.max.g6[],MATCH($C$10,C.granul.max.g6[100%],1),2)</f>
        <v>0.75</v>
      </c>
      <c r="H13" s="85" t="str">
        <f>+INDEX(C.granul.max.g6[],MATCH($C$10,C.granul.max.g6[100%],1),3)</f>
        <v>#66</v>
      </c>
      <c r="O13" s="90">
        <f>+IF(Z13=MIN($Z$8:$Z$13),3,0)</f>
        <v>0</v>
      </c>
      <c r="P13" s="290"/>
      <c r="Q13" s="134" t="str">
        <f>+Q12</f>
        <v>Nada</v>
      </c>
      <c r="R13" s="114">
        <f>IF($P$8="#24",INDEX(Trit.conicas.24[#All],4,4),IF($P$8="#36",INDEX(Trit.conicas.36[#All],4,4),IF($P$8="#48",INDEX(Trit.conicas.48[#All],4,4),INDEX(Trit.conicas.66[#All],4,4))))</f>
        <v>0</v>
      </c>
      <c r="S13" s="47">
        <v>2</v>
      </c>
      <c r="T13" s="48" t="e">
        <f>+INDEX('Curvas Granul. M'!$F$34:$G$46,MATCH(DimensionadorTrit!R13,'Curvas Granul. M'!$F$34:$F$46,1),2)</f>
        <v>#N/A</v>
      </c>
      <c r="U13" s="47" t="e">
        <f>+IF(SUM(AG35:AG38)=1,VLOOKUP(1,$AG$35:$AK$38,4,0),MAX($AJ$35:$AJ$38))</f>
        <v>#N/A</v>
      </c>
      <c r="V13" s="2" t="e">
        <f>+VLOOKUP(U13,$AJ$35:$AK$38,2)</f>
        <v>#N/A</v>
      </c>
      <c r="W13" s="121" t="e">
        <f t="shared" si="2"/>
        <v>#N/A</v>
      </c>
      <c r="X13" s="121" t="e">
        <f t="shared" si="3"/>
        <v>#N/A</v>
      </c>
      <c r="Y13" s="7" t="e">
        <f>+IF(W13="cumple",VLOOKUP(V13,$AJ$40:$AK$49,2,0),"NO")</f>
        <v>#N/A</v>
      </c>
      <c r="Z13" s="140" t="str">
        <f>IFERROR(VLOOKUP(V13,$AJ$40:$AK$49,2,0)*X13,"NO")</f>
        <v>NO</v>
      </c>
      <c r="AA13" s="2" t="e">
        <f t="shared" si="5"/>
        <v>#N/A</v>
      </c>
      <c r="AB13" s="7"/>
      <c r="AC13" s="120">
        <f>+_xlfn.FORECAST.LINEAR($C$10,$AD$8:$AD$10,$AC$8:$AC$10)</f>
        <v>8.9285714285714302E-2</v>
      </c>
      <c r="AD13" s="84" t="e">
        <f>+C6/T22*(1-AC13)</f>
        <v>#N/A</v>
      </c>
      <c r="AE13" s="7"/>
      <c r="AF13" s="7"/>
      <c r="AG13" s="7">
        <f t="shared" si="6"/>
        <v>0</v>
      </c>
      <c r="AH13" s="116">
        <v>1</v>
      </c>
      <c r="AI13" s="117">
        <f t="shared" si="8"/>
        <v>3.5</v>
      </c>
      <c r="AJ13" s="118">
        <f>+IF($G$32="Dura",VLOOKUP(AI13,Q_Mandibula1_Duro[],6),IF($G$32="Media",VLOOKUP(AI13,Q_Mandibula1_medio[],6),VLOOKUP(AI13,Q_Mandibula1_blando[],6)))</f>
        <v>0</v>
      </c>
      <c r="AK13" s="118" t="s">
        <v>12</v>
      </c>
      <c r="AL13" s="7" t="str">
        <f t="shared" si="9"/>
        <v>NO</v>
      </c>
      <c r="AM13" s="7">
        <v>1</v>
      </c>
      <c r="AN13" s="7"/>
    </row>
    <row r="14" spans="1:40" ht="14.4" x14ac:dyDescent="0.3">
      <c r="A14" s="14" t="s">
        <v>93</v>
      </c>
      <c r="B14" s="15" t="s">
        <v>85</v>
      </c>
      <c r="C14" s="74">
        <f>Inputs!E15</f>
        <v>0.5</v>
      </c>
      <c r="D14" s="15" t="s">
        <v>78</v>
      </c>
      <c r="E14" s="7"/>
      <c r="O14" s="90">
        <f>+SUM(O8:O13)</f>
        <v>3</v>
      </c>
      <c r="P14" s="280" t="s">
        <v>204</v>
      </c>
      <c r="Q14" s="280"/>
      <c r="R14" s="143" t="s">
        <v>207</v>
      </c>
      <c r="S14" s="143"/>
      <c r="T14" s="143"/>
      <c r="U14" s="142"/>
      <c r="V14" s="142"/>
      <c r="W14" s="7"/>
      <c r="X14" s="140"/>
      <c r="Y14" s="7"/>
      <c r="Z14" s="140"/>
      <c r="AB14" s="7"/>
      <c r="AC14" s="7"/>
      <c r="AD14" s="7"/>
      <c r="AE14" s="7"/>
      <c r="AF14" s="7"/>
      <c r="AG14" s="7">
        <f t="shared" si="6"/>
        <v>0</v>
      </c>
      <c r="AH14" s="116">
        <v>1</v>
      </c>
      <c r="AI14" s="117">
        <f t="shared" si="8"/>
        <v>3.5</v>
      </c>
      <c r="AJ14" s="118">
        <f>+IF($G$32="Dura",VLOOKUP(AI14,Q_Mandibula1_Duro[],7),IF($G$32="Media",VLOOKUP(AI14,Q_Mandibula1_medio[],7),VLOOKUP(AI14,Q_Mandibula1_blando[],7)))</f>
        <v>114</v>
      </c>
      <c r="AK14" s="118" t="s">
        <v>13</v>
      </c>
      <c r="AL14" s="7" t="str">
        <f t="shared" si="9"/>
        <v>NO</v>
      </c>
      <c r="AM14" s="7">
        <v>1</v>
      </c>
      <c r="AN14" s="7"/>
    </row>
    <row r="15" spans="1:40" ht="14.4" x14ac:dyDescent="0.3">
      <c r="A15" s="14" t="s">
        <v>94</v>
      </c>
      <c r="B15" s="15" t="s">
        <v>81</v>
      </c>
      <c r="C15" s="74">
        <v>0</v>
      </c>
      <c r="D15" s="15" t="s">
        <v>78</v>
      </c>
      <c r="E15" s="7"/>
      <c r="F15" s="277" t="s">
        <v>174</v>
      </c>
      <c r="G15" s="277"/>
      <c r="H15" s="277"/>
      <c r="I15" s="277"/>
      <c r="J15" s="277"/>
      <c r="K15" s="277"/>
      <c r="L15" s="277"/>
      <c r="M15" s="277"/>
      <c r="N15" s="277"/>
      <c r="O15" s="90" t="e">
        <f t="shared" ref="O15" si="10">+IF(Y15=MIN($Y$8:$Y$15),1,0)</f>
        <v>#N/A</v>
      </c>
      <c r="P15" s="141"/>
      <c r="Q15" s="142"/>
      <c r="R15" s="143" t="s">
        <v>205</v>
      </c>
      <c r="S15" s="143"/>
      <c r="T15" s="143"/>
      <c r="U15" s="142"/>
      <c r="V15" s="142"/>
      <c r="W15" s="7"/>
      <c r="X15" s="140"/>
      <c r="Y15" s="7"/>
      <c r="Z15" s="140"/>
      <c r="AB15" s="7"/>
      <c r="AC15" s="7"/>
      <c r="AD15" s="7"/>
      <c r="AE15" s="7"/>
      <c r="AF15" s="7"/>
      <c r="AG15" s="7">
        <f>+IF(AL15=MIN($AL$15:$AL$18),1,0)</f>
        <v>1</v>
      </c>
      <c r="AH15" s="2">
        <v>2</v>
      </c>
      <c r="AI15" s="115">
        <f>+$T$9</f>
        <v>7</v>
      </c>
      <c r="AJ15" s="47">
        <f>+IF($G$32="Dura",VLOOKUP(AI15,Q_Mandibula2_Duro[],2),IF($G$32="Media",VLOOKUP(AI15,Q_Mandibula2_medio[],2),VLOOKUP(AI15,Q_Mandibula2_blando[],2)))</f>
        <v>280</v>
      </c>
      <c r="AK15" s="47" t="s">
        <v>7</v>
      </c>
      <c r="AL15" s="7">
        <f t="shared" si="9"/>
        <v>130</v>
      </c>
      <c r="AM15" s="7">
        <v>2</v>
      </c>
      <c r="AN15" s="7"/>
    </row>
    <row r="16" spans="1:40" ht="14.4" x14ac:dyDescent="0.3">
      <c r="A16" s="14" t="s">
        <v>95</v>
      </c>
      <c r="B16" s="15" t="s">
        <v>86</v>
      </c>
      <c r="C16" s="74">
        <v>0</v>
      </c>
      <c r="D16" s="15" t="s">
        <v>78</v>
      </c>
      <c r="E16" s="7"/>
      <c r="P16" s="124"/>
      <c r="Q16" s="123"/>
      <c r="R16" s="123"/>
      <c r="S16" s="123"/>
      <c r="T16" s="123"/>
      <c r="V16" s="7"/>
      <c r="W16" s="7"/>
      <c r="X16" s="140"/>
      <c r="Y16" s="7"/>
      <c r="Z16" s="140"/>
      <c r="AA16" s="7"/>
      <c r="AB16" s="7"/>
      <c r="AC16" s="7"/>
      <c r="AD16" s="7"/>
      <c r="AE16" s="7"/>
      <c r="AF16" s="7"/>
      <c r="AG16" s="7">
        <f>+IF(AL16=MIN($AL$15:$AL$18),1,0)</f>
        <v>0</v>
      </c>
      <c r="AH16" s="2">
        <v>2</v>
      </c>
      <c r="AI16" s="115">
        <f t="shared" ref="AI16:AI18" si="11">+$T$9</f>
        <v>7</v>
      </c>
      <c r="AJ16" s="47">
        <f>+IF($G$32="Dura",VLOOKUP(AI16,Q_Mandibula2_Duro[],3),IF($G$32="Media",VLOOKUP(AI16,Q_Mandibula2_medio[],3),VLOOKUP(AI16,Q_Mandibula2_blando[],3)))</f>
        <v>375</v>
      </c>
      <c r="AK16" s="47" t="s">
        <v>8</v>
      </c>
      <c r="AL16" s="7">
        <f t="shared" si="9"/>
        <v>225</v>
      </c>
      <c r="AM16" s="7">
        <v>2</v>
      </c>
      <c r="AN16" s="7"/>
    </row>
    <row r="17" spans="1:40" ht="14.4" x14ac:dyDescent="0.3">
      <c r="A17" s="14" t="s">
        <v>96</v>
      </c>
      <c r="B17" s="15" t="s">
        <v>82</v>
      </c>
      <c r="C17" s="74">
        <v>0</v>
      </c>
      <c r="D17" s="15" t="s">
        <v>78</v>
      </c>
      <c r="E17" s="7"/>
      <c r="F17" s="45" t="s">
        <v>173</v>
      </c>
      <c r="G17" s="46" t="s">
        <v>119</v>
      </c>
      <c r="H17" s="46" t="s">
        <v>175</v>
      </c>
      <c r="P17" s="31"/>
      <c r="Q17" s="7"/>
      <c r="R17" s="7"/>
      <c r="S17" s="7"/>
      <c r="T17" s="7"/>
      <c r="U17" s="7"/>
      <c r="V17" s="7"/>
      <c r="W17" s="7"/>
      <c r="X17" s="140"/>
      <c r="Y17" s="7"/>
      <c r="Z17" s="140"/>
      <c r="AA17" s="7"/>
      <c r="AB17" s="7"/>
      <c r="AC17" s="7"/>
      <c r="AD17" s="7"/>
      <c r="AE17" s="7"/>
      <c r="AF17" s="7"/>
      <c r="AG17" s="7">
        <f>+IF(AL17=MIN($AL$15:$AL$18),1,0)</f>
        <v>0</v>
      </c>
      <c r="AH17" s="2">
        <v>2</v>
      </c>
      <c r="AI17" s="115">
        <f t="shared" si="11"/>
        <v>7</v>
      </c>
      <c r="AJ17" s="47">
        <f>+IF($G$32="Dura",VLOOKUP(AI17,Q_Mandibula2_Duro[],4),IF($G$32="Media",VLOOKUP(AI17,Q_Mandibula2_medio[],4),VLOOKUP(AI17,Q_Mandibula2_blando[],4)))</f>
        <v>380</v>
      </c>
      <c r="AK17" s="47" t="s">
        <v>9</v>
      </c>
      <c r="AL17" s="7">
        <f t="shared" si="9"/>
        <v>230</v>
      </c>
      <c r="AM17" s="7">
        <v>2</v>
      </c>
      <c r="AN17" s="7"/>
    </row>
    <row r="18" spans="1:40" ht="14.4" x14ac:dyDescent="0.3">
      <c r="A18" s="268" t="s">
        <v>72</v>
      </c>
      <c r="B18" s="268"/>
      <c r="C18" s="268"/>
      <c r="D18" s="268"/>
      <c r="E18" s="146">
        <f>+IF(L18=MIN($L$18:$L$21),1,0)</f>
        <v>0</v>
      </c>
      <c r="F18" s="85" t="str">
        <f>+H10</f>
        <v>#24</v>
      </c>
      <c r="G18" s="88" t="str">
        <f>G10</f>
        <v>no</v>
      </c>
      <c r="H18" s="85" t="e">
        <f>+HLOOKUP(TEXT(G18,"# ?/?"),Tabla8[#All],2,0)</f>
        <v>#N/A</v>
      </c>
      <c r="I18" s="75" t="e">
        <f>+IF(H18&gt;=$H$7,"CUMPLE","NO SIRVE")</f>
        <v>#N/A</v>
      </c>
      <c r="K18" s="121" t="e">
        <f>ROUNDUP($H$7/H18,0)</f>
        <v>#VALUE!</v>
      </c>
      <c r="L18" s="121" t="str">
        <f>+IFERROR(K18,"NO")</f>
        <v>NO</v>
      </c>
      <c r="M18" s="121" t="s">
        <v>206</v>
      </c>
      <c r="N18" s="75" t="e">
        <f>+_xlfn.TEXTJOIN(" ",0,M18,K18)</f>
        <v>#VALUE!</v>
      </c>
      <c r="P18" s="31"/>
      <c r="Q18" s="7"/>
      <c r="R18" s="7"/>
      <c r="S18" s="7"/>
      <c r="T18" s="7"/>
      <c r="U18" s="7"/>
      <c r="V18" s="7"/>
      <c r="W18" s="7"/>
      <c r="X18" s="140"/>
      <c r="Y18" s="7"/>
      <c r="Z18" s="140"/>
      <c r="AA18" s="7"/>
      <c r="AB18" s="7"/>
      <c r="AC18" s="7"/>
      <c r="AD18" s="7"/>
      <c r="AE18" s="7"/>
      <c r="AF18" s="7"/>
      <c r="AG18" s="7">
        <f>+IF(AL18=MIN($AL$15:$AL$18),1,0)</f>
        <v>0</v>
      </c>
      <c r="AH18" s="2">
        <v>2</v>
      </c>
      <c r="AI18" s="115">
        <f t="shared" si="11"/>
        <v>7</v>
      </c>
      <c r="AJ18" s="47">
        <f>+IF($G$32="Dura",VLOOKUP(AI18,Q_Mandibula2_Duro[],5),IF($G$32="Media",VLOOKUP(AI18,Q_Mandibula2_medio[],5),VLOOKUP(AI18,Q_Mandibula2_blando[],5)))</f>
        <v>550</v>
      </c>
      <c r="AK18" s="47" t="s">
        <v>10</v>
      </c>
      <c r="AL18" s="7">
        <f t="shared" si="9"/>
        <v>400</v>
      </c>
      <c r="AM18" s="7">
        <v>2</v>
      </c>
      <c r="AN18" s="7"/>
    </row>
    <row r="19" spans="1:40" ht="14.4" x14ac:dyDescent="0.3">
      <c r="E19" s="146">
        <f t="shared" ref="E19:E20" si="12">+IF(L19=MIN($L$18:$L$21),1,0)</f>
        <v>0</v>
      </c>
      <c r="F19" s="85" t="str">
        <f t="shared" ref="F19:F21" si="13">+H11</f>
        <v>#36</v>
      </c>
      <c r="G19" s="88">
        <f t="shared" ref="G19:G21" si="14">+G11</f>
        <v>0.75</v>
      </c>
      <c r="H19" s="85">
        <f>+HLOOKUP(TEXT(G19,"# ?/?"),Tabla8[#All],6,0)</f>
        <v>71</v>
      </c>
      <c r="I19" s="75" t="str">
        <f t="shared" ref="I19:I21" si="15">+IF(H19&gt;=$H$7,"CUMPLE","NO SIRVE")</f>
        <v>NO SIRVE</v>
      </c>
      <c r="J19" s="75"/>
      <c r="K19" s="121" t="e">
        <f>ROUNDUP($H$7/H19,0)</f>
        <v>#VALUE!</v>
      </c>
      <c r="L19" s="121" t="str">
        <f>+IFERROR(K19+0.1,"NO")</f>
        <v>NO</v>
      </c>
      <c r="M19" s="121" t="s">
        <v>206</v>
      </c>
      <c r="N19" s="121" t="e">
        <f t="shared" ref="N19:N21" si="16">+_xlfn.TEXTJOIN(" ",0,M19,K19)</f>
        <v>#VALUE!</v>
      </c>
      <c r="P19" s="283" t="s">
        <v>202</v>
      </c>
      <c r="Q19" s="284"/>
      <c r="R19" s="284"/>
      <c r="S19" s="284"/>
      <c r="T19" s="284"/>
      <c r="U19" s="284"/>
      <c r="V19" s="285"/>
      <c r="W19" s="7"/>
      <c r="X19" s="140"/>
      <c r="Y19" s="7"/>
      <c r="Z19" s="140"/>
      <c r="AA19" s="7"/>
      <c r="AB19" s="7"/>
      <c r="AC19" s="7"/>
      <c r="AD19" s="7"/>
      <c r="AE19" s="7"/>
      <c r="AF19" s="7"/>
      <c r="AG19" s="7">
        <f>+IF(AL19=MIN($AL$19:$AL$24),1,0)</f>
        <v>0</v>
      </c>
      <c r="AH19" s="116">
        <v>1</v>
      </c>
      <c r="AI19" s="117">
        <f>+$T$10</f>
        <v>3.5</v>
      </c>
      <c r="AJ19" s="118">
        <f>+IF($G$32="Dura",VLOOKUP(AI19,Q_Mandibula1_Duro[],2),IF($G$32="Media",VLOOKUP(AI19,Q_Mandibula1_medio[],2),VLOOKUP(AI19,Q_Mandibula1_blando[],2)))</f>
        <v>0</v>
      </c>
      <c r="AK19" s="118" t="s">
        <v>4</v>
      </c>
      <c r="AL19" s="7" t="str">
        <f t="shared" si="9"/>
        <v>NO</v>
      </c>
      <c r="AM19" s="7"/>
      <c r="AN19" s="7"/>
    </row>
    <row r="20" spans="1:40" ht="14.4" x14ac:dyDescent="0.3">
      <c r="A20" s="265" t="s">
        <v>97</v>
      </c>
      <c r="B20" s="266"/>
      <c r="C20" s="266"/>
      <c r="D20" s="266"/>
      <c r="E20" s="146">
        <f t="shared" si="12"/>
        <v>0</v>
      </c>
      <c r="F20" s="85" t="str">
        <f t="shared" si="13"/>
        <v>#48</v>
      </c>
      <c r="G20" s="88">
        <f>+G12</f>
        <v>0.75</v>
      </c>
      <c r="H20" s="85">
        <f>+HLOOKUP(TEXT(G20,"# ?/?"),Tabla8[#All],10,0)</f>
        <v>135</v>
      </c>
      <c r="I20" s="75" t="str">
        <f t="shared" si="15"/>
        <v>NO SIRVE</v>
      </c>
      <c r="J20" s="75"/>
      <c r="K20" s="121" t="e">
        <f>ROUNDUP($H$7/H20,0)</f>
        <v>#VALUE!</v>
      </c>
      <c r="L20" s="121" t="str">
        <f>+IFERROR(K20+0.2,"NO")</f>
        <v>NO</v>
      </c>
      <c r="M20" s="121" t="s">
        <v>206</v>
      </c>
      <c r="N20" s="121" t="e">
        <f t="shared" si="16"/>
        <v>#VALUE!</v>
      </c>
      <c r="Q20" s="133" t="s">
        <v>46</v>
      </c>
      <c r="R20" s="46" t="s">
        <v>119</v>
      </c>
      <c r="S20" s="46" t="s">
        <v>42</v>
      </c>
      <c r="T20" s="46" t="s">
        <v>203</v>
      </c>
      <c r="Y20" s="7"/>
      <c r="Z20" s="140"/>
      <c r="AA20" s="7"/>
      <c r="AB20" s="7"/>
      <c r="AC20" s="7"/>
      <c r="AD20" s="7"/>
      <c r="AE20" s="7"/>
      <c r="AF20" s="7"/>
      <c r="AG20" s="7">
        <f t="shared" ref="AG20:AG24" si="17">+IF(AL20=MIN($AL$19:$AL$24),1,0)</f>
        <v>0</v>
      </c>
      <c r="AH20" s="116">
        <v>1</v>
      </c>
      <c r="AI20" s="117">
        <f t="shared" ref="AI20:AI24" si="18">+$T$10</f>
        <v>3.5</v>
      </c>
      <c r="AJ20" s="118">
        <f>+IF($G$32="Dura",VLOOKUP(AI20,Q_Mandibula1_Duro[],3),IF($G$32="Media",VLOOKUP(AI20,Q_Mandibula1_medio[],3),VLOOKUP(AI20,Q_Mandibula1_blando[],3)))</f>
        <v>0</v>
      </c>
      <c r="AK20" s="118" t="s">
        <v>5</v>
      </c>
      <c r="AL20" s="7" t="str">
        <f t="shared" si="9"/>
        <v>NO</v>
      </c>
      <c r="AM20" s="7"/>
      <c r="AN20" s="7"/>
    </row>
    <row r="21" spans="1:40" ht="14.4" x14ac:dyDescent="0.3">
      <c r="A21" s="272"/>
      <c r="B21" s="272"/>
      <c r="C21" s="7"/>
      <c r="D21" s="7"/>
      <c r="E21" s="146">
        <f>+IF(L21=MIN($L$18:$L$21),1,0)</f>
        <v>0</v>
      </c>
      <c r="F21" s="85" t="str">
        <f t="shared" si="13"/>
        <v>#66</v>
      </c>
      <c r="G21" s="88">
        <f t="shared" si="14"/>
        <v>0.75</v>
      </c>
      <c r="H21" s="85">
        <f>+HLOOKUP(TEXT(G21,"# ?/?"),Tabla8[#All],14,0)</f>
        <v>200</v>
      </c>
      <c r="I21" s="75" t="str">
        <f t="shared" si="15"/>
        <v>NO SIRVE</v>
      </c>
      <c r="J21" s="75"/>
      <c r="K21" s="121" t="e">
        <f>ROUNDUP($H$7/H21,0)</f>
        <v>#VALUE!</v>
      </c>
      <c r="L21" s="121" t="str">
        <f>+IFERROR(K21+0.3,"NO")</f>
        <v>NO</v>
      </c>
      <c r="M21" s="121" t="s">
        <v>206</v>
      </c>
      <c r="N21" s="121" t="e">
        <f t="shared" si="16"/>
        <v>#VALUE!</v>
      </c>
      <c r="P21" s="46" t="s">
        <v>201</v>
      </c>
      <c r="Q21" s="132" t="str">
        <f>+VLOOKUP(MAX($O$8:$O$13),$O$8:$V$13,8,0)</f>
        <v>20x36</v>
      </c>
      <c r="R21" s="48">
        <f>+VLOOKUP(MAX($O$8:$O$13),$O$8:$V$13,6,0)</f>
        <v>5</v>
      </c>
      <c r="S21" s="135" t="s">
        <v>71</v>
      </c>
      <c r="T21" s="85">
        <f>+VLOOKUP(1,$O$8:$X$13,10,0)</f>
        <v>1</v>
      </c>
      <c r="U21" s="121"/>
      <c r="Y21" s="7"/>
      <c r="Z21" s="140"/>
      <c r="AA21" s="7"/>
      <c r="AB21" s="7"/>
      <c r="AC21" s="7"/>
      <c r="AD21" s="7"/>
      <c r="AE21" s="7"/>
      <c r="AF21" s="7"/>
      <c r="AG21" s="7">
        <f t="shared" si="17"/>
        <v>0</v>
      </c>
      <c r="AH21" s="116">
        <v>1</v>
      </c>
      <c r="AI21" s="117">
        <f t="shared" si="18"/>
        <v>3.5</v>
      </c>
      <c r="AJ21" s="118">
        <f>+IF($G$32="Dura",VLOOKUP(AI21,Q_Mandibula1_Duro[],4),IF($G$32="Media",VLOOKUP(AI21,Q_Mandibula1_medio[],4),VLOOKUP(AI21,Q_Mandibula1_blando[],4)))</f>
        <v>0</v>
      </c>
      <c r="AK21" s="118" t="s">
        <v>6</v>
      </c>
      <c r="AL21" s="7" t="str">
        <f t="shared" si="9"/>
        <v>NO</v>
      </c>
      <c r="AM21" s="7"/>
      <c r="AN21" s="7"/>
    </row>
    <row r="22" spans="1:40" ht="14.4" x14ac:dyDescent="0.3">
      <c r="A22" s="273"/>
      <c r="B22" s="273"/>
      <c r="C22" s="18" t="s">
        <v>98</v>
      </c>
      <c r="D22" s="127">
        <f>+C9/C10</f>
        <v>13.333333333333334</v>
      </c>
      <c r="E22" s="7"/>
      <c r="P22" s="46" t="s">
        <v>178</v>
      </c>
      <c r="Q22" s="132" t="e">
        <f>+VLOOKUP(1,E18:H21,2,0)</f>
        <v>#N/A</v>
      </c>
      <c r="R22" s="48" t="e">
        <f>+VLOOKUP(1,E18:H21,3,0)</f>
        <v>#N/A</v>
      </c>
      <c r="S22" s="85" t="str">
        <f>+VLOOKUP(MAX($O$8:$O$13),$O$8:$V$13,3,0)</f>
        <v>Medium</v>
      </c>
      <c r="T22" s="85" t="e">
        <f>+VLOOKUP(1,$E$18:$K$21,7,0)</f>
        <v>#N/A</v>
      </c>
      <c r="U22" s="121"/>
      <c r="V22" s="7"/>
      <c r="W22" s="7"/>
      <c r="X22" s="140"/>
      <c r="Y22" s="7"/>
      <c r="Z22" s="140"/>
      <c r="AA22" s="7"/>
      <c r="AB22" s="7"/>
      <c r="AC22" s="7"/>
      <c r="AD22" s="7"/>
      <c r="AE22" s="7"/>
      <c r="AF22" s="7"/>
      <c r="AG22" s="7">
        <f t="shared" si="17"/>
        <v>0</v>
      </c>
      <c r="AH22" s="116">
        <v>1</v>
      </c>
      <c r="AI22" s="117">
        <f t="shared" si="18"/>
        <v>3.5</v>
      </c>
      <c r="AJ22" s="118">
        <f>+IF($G$32="Dura",VLOOKUP(AI22,Q_Mandibula1_Duro[],5),IF($G$32="Media",VLOOKUP(AI22,Q_Mandibula1_medio[],5),VLOOKUP(AI22,Q_Mandibula1_blando[],5)))</f>
        <v>0</v>
      </c>
      <c r="AK22" s="118" t="s">
        <v>11</v>
      </c>
      <c r="AL22" s="7" t="str">
        <f t="shared" si="9"/>
        <v>NO</v>
      </c>
      <c r="AM22" s="7"/>
      <c r="AN22" s="7"/>
    </row>
    <row r="23" spans="1:40" ht="14.4" x14ac:dyDescent="0.3">
      <c r="A23" s="273"/>
      <c r="B23" s="273"/>
      <c r="C23" s="7"/>
      <c r="D23" s="7"/>
      <c r="E23" s="7"/>
      <c r="R23" s="136"/>
      <c r="Y23" s="7"/>
      <c r="Z23" s="140"/>
      <c r="AA23" s="7"/>
      <c r="AB23" s="7"/>
      <c r="AC23" s="7"/>
      <c r="AD23" s="7"/>
      <c r="AE23" s="7"/>
      <c r="AF23" s="7"/>
      <c r="AG23" s="7">
        <f t="shared" si="17"/>
        <v>0</v>
      </c>
      <c r="AH23" s="116">
        <v>1</v>
      </c>
      <c r="AI23" s="117">
        <f t="shared" si="18"/>
        <v>3.5</v>
      </c>
      <c r="AJ23" s="118">
        <f>+IF($G$32="Dura",VLOOKUP(AI23,Q_Mandibula1_Duro[],6),IF($G$32="Media",VLOOKUP(AI23,Q_Mandibula1_medio[],6),VLOOKUP(AI23,Q_Mandibula1_blando[],6)))</f>
        <v>0</v>
      </c>
      <c r="AK23" s="118" t="s">
        <v>12</v>
      </c>
      <c r="AL23" s="7" t="str">
        <f t="shared" si="9"/>
        <v>NO</v>
      </c>
      <c r="AM23" s="7"/>
      <c r="AN23" s="7"/>
    </row>
    <row r="24" spans="1:40" ht="14.4" x14ac:dyDescent="0.3">
      <c r="A24" s="7"/>
      <c r="B24" s="7"/>
      <c r="C24" s="7"/>
      <c r="D24" s="7"/>
      <c r="E24" s="7"/>
      <c r="R24" s="136"/>
      <c r="S24" s="121"/>
      <c r="V24" s="7"/>
      <c r="W24" s="7"/>
      <c r="X24" s="140"/>
      <c r="Y24" s="7"/>
      <c r="Z24" s="140"/>
      <c r="AA24" s="7"/>
      <c r="AB24" s="7"/>
      <c r="AC24" s="7"/>
      <c r="AD24" s="7"/>
      <c r="AE24" s="7"/>
      <c r="AF24" s="7"/>
      <c r="AG24" s="7">
        <f t="shared" si="17"/>
        <v>0</v>
      </c>
      <c r="AH24" s="116">
        <v>1</v>
      </c>
      <c r="AI24" s="117">
        <f t="shared" si="18"/>
        <v>3.5</v>
      </c>
      <c r="AJ24" s="118">
        <f>+IF($G$32="Dura",VLOOKUP(AI24,Q_Mandibula1_Duro[],7),IF($G$32="Media",VLOOKUP(AI24,Q_Mandibula1_medio[],7),VLOOKUP(AI24,Q_Mandibula1_blando[],7)))</f>
        <v>114</v>
      </c>
      <c r="AK24" s="118" t="s">
        <v>13</v>
      </c>
      <c r="AL24" s="7" t="str">
        <f t="shared" si="9"/>
        <v>NO</v>
      </c>
      <c r="AM24" s="7"/>
      <c r="AN24" s="7"/>
    </row>
    <row r="25" spans="1:40" ht="14.4" x14ac:dyDescent="0.3">
      <c r="A25" s="264" t="str">
        <f>+IF(D22&lt;15,"Como el gdd es menor a 15, alcanza con una sola etapa",IF(D22&gt;225,"necesito 3 o mas etapas, revisar porque es raro","Como el gdd es mayor a 15 y menor a 225, se necesitan 2 etapas de desintegracion"))</f>
        <v>Como el gdd es menor a 15, alcanza con una sola etapa</v>
      </c>
      <c r="B25" s="264"/>
      <c r="C25" s="264"/>
      <c r="D25" s="264"/>
      <c r="E25" s="7"/>
      <c r="R25" s="137"/>
      <c r="V25" s="7"/>
      <c r="W25" s="7"/>
      <c r="X25" s="140"/>
      <c r="Y25" s="7"/>
      <c r="Z25" s="140"/>
      <c r="AA25" s="7"/>
      <c r="AB25" s="7"/>
      <c r="AC25" s="7"/>
      <c r="AD25" s="7"/>
      <c r="AE25" s="7"/>
      <c r="AF25" s="7"/>
      <c r="AG25" s="7">
        <f>+IF(AL25=MIN($AL$25:$AL$28),1,0)</f>
        <v>1</v>
      </c>
      <c r="AH25" s="2">
        <v>2</v>
      </c>
      <c r="AI25" s="115">
        <f>+$T$11</f>
        <v>5</v>
      </c>
      <c r="AJ25" s="47">
        <f>+IF($G$32="Dura",VLOOKUP(AI25,Q_Mandibula2_Duro[],2),IF($G$32="Media",VLOOKUP(AI25,Q_Mandibula2_medio[],2),VLOOKUP(AI25,Q_Mandibula2_blando[],2)))</f>
        <v>200</v>
      </c>
      <c r="AK25" s="47" t="s">
        <v>7</v>
      </c>
      <c r="AL25" s="7">
        <f t="shared" si="9"/>
        <v>50</v>
      </c>
      <c r="AM25" s="7"/>
      <c r="AN25" s="7"/>
    </row>
    <row r="26" spans="1:40" ht="14.4" x14ac:dyDescent="0.3">
      <c r="E26" s="7"/>
      <c r="V26" s="7"/>
      <c r="W26" s="7"/>
      <c r="X26" s="140"/>
      <c r="Y26" s="7"/>
      <c r="Z26" s="140"/>
      <c r="AA26" s="7"/>
      <c r="AB26" s="7"/>
      <c r="AC26" s="7"/>
      <c r="AD26" s="7"/>
      <c r="AE26" s="7"/>
      <c r="AF26" s="7"/>
      <c r="AG26" s="7">
        <f t="shared" ref="AG26:AG28" si="19">+IF(AL26=MIN($AL$25:$AL$28),1,0)</f>
        <v>0</v>
      </c>
      <c r="AH26" s="2">
        <v>2</v>
      </c>
      <c r="AI26" s="115">
        <f t="shared" ref="AI26:AI28" si="20">+$T$11</f>
        <v>5</v>
      </c>
      <c r="AJ26" s="47">
        <f>+IF($G$32="Dura",VLOOKUP(AI26,Q_Mandibula2_Duro[],3),IF($G$32="Media",VLOOKUP(AI26,Q_Mandibula2_medio[],3),VLOOKUP(AI26,Q_Mandibula2_blando[],3)))</f>
        <v>270</v>
      </c>
      <c r="AK26" s="47" t="s">
        <v>8</v>
      </c>
      <c r="AL26" s="7">
        <f t="shared" si="9"/>
        <v>120</v>
      </c>
      <c r="AM26" s="7"/>
      <c r="AN26" s="7"/>
    </row>
    <row r="27" spans="1:40" ht="14.4" x14ac:dyDescent="0.3">
      <c r="A27" s="282" t="str">
        <f>+IF(D22&gt;15,"Necesito dimensionar una conica y una de mandibulas","Necesito dimensionar solo una de mandibulas")</f>
        <v>Necesito dimensionar solo una de mandibulas</v>
      </c>
      <c r="B27" s="282"/>
      <c r="C27" s="282"/>
      <c r="D27" s="282"/>
      <c r="E27" s="7"/>
      <c r="R27" s="7"/>
      <c r="V27" s="7"/>
      <c r="W27" s="7"/>
      <c r="X27" s="140"/>
      <c r="Y27" s="7"/>
      <c r="Z27" s="140"/>
      <c r="AA27" s="7"/>
      <c r="AB27" s="7"/>
      <c r="AC27" s="7"/>
      <c r="AD27" s="7"/>
      <c r="AE27" s="7"/>
      <c r="AF27" s="7"/>
      <c r="AG27" s="7">
        <f t="shared" si="19"/>
        <v>0</v>
      </c>
      <c r="AH27" s="2">
        <v>2</v>
      </c>
      <c r="AI27" s="115">
        <f t="shared" si="20"/>
        <v>5</v>
      </c>
      <c r="AJ27" s="47">
        <f>+IF($G$32="Dura",VLOOKUP(AI27,Q_Mandibula2_Duro[],4),IF($G$32="Media",VLOOKUP(AI27,Q_Mandibula2_medio[],4),VLOOKUP(AI27,Q_Mandibula2_blando[],4)))</f>
        <v>285</v>
      </c>
      <c r="AK27" s="47" t="s">
        <v>9</v>
      </c>
      <c r="AL27" s="7">
        <f t="shared" si="9"/>
        <v>135</v>
      </c>
      <c r="AM27" s="7"/>
      <c r="AN27" s="7"/>
    </row>
    <row r="28" spans="1:40" ht="14.4" x14ac:dyDescent="0.3">
      <c r="E28" s="7"/>
      <c r="H28" s="13">
        <v>1.5</v>
      </c>
      <c r="R28" s="7"/>
      <c r="S28" s="7"/>
      <c r="T28" s="7"/>
      <c r="U28" s="7"/>
      <c r="V28" s="7"/>
      <c r="W28" s="7"/>
      <c r="X28" s="140"/>
      <c r="Y28" s="7"/>
      <c r="Z28" s="140"/>
      <c r="AA28" s="7"/>
      <c r="AB28" s="7"/>
      <c r="AC28" s="7"/>
      <c r="AD28" s="7"/>
      <c r="AE28" s="7"/>
      <c r="AF28" s="7"/>
      <c r="AG28" s="7">
        <f t="shared" si="19"/>
        <v>0</v>
      </c>
      <c r="AH28" s="2">
        <v>2</v>
      </c>
      <c r="AI28" s="115">
        <f t="shared" si="20"/>
        <v>5</v>
      </c>
      <c r="AJ28" s="47">
        <f>+IF($G$32="Dura",VLOOKUP(AI28,Q_Mandibula2_Duro[],5),IF($G$32="Media",VLOOKUP(AI28,Q_Mandibula2_medio[],5),VLOOKUP(AI28,Q_Mandibula2_blando[],5)))</f>
        <v>450</v>
      </c>
      <c r="AK28" s="47" t="s">
        <v>10</v>
      </c>
      <c r="AL28" s="7">
        <f t="shared" si="9"/>
        <v>300</v>
      </c>
      <c r="AM28" s="7"/>
      <c r="AN28" s="7"/>
    </row>
    <row r="29" spans="1:40" ht="14.4" x14ac:dyDescent="0.3">
      <c r="A29" s="281" t="s">
        <v>161</v>
      </c>
      <c r="B29" s="281"/>
      <c r="C29" s="281"/>
      <c r="D29" s="281"/>
      <c r="E29" s="281"/>
      <c r="F29" s="281"/>
      <c r="G29" s="281"/>
      <c r="H29" s="281"/>
      <c r="I29" s="281"/>
      <c r="J29" s="281"/>
      <c r="K29" s="281"/>
      <c r="L29" s="281"/>
      <c r="M29" s="281"/>
      <c r="N29" s="281"/>
      <c r="O29" s="281"/>
      <c r="P29" s="281"/>
      <c r="Q29" s="281"/>
      <c r="R29" s="281"/>
      <c r="S29" s="281"/>
      <c r="T29" s="281"/>
      <c r="U29" s="281"/>
      <c r="V29" s="281"/>
      <c r="W29" s="281"/>
      <c r="X29" s="281"/>
      <c r="Y29" s="281"/>
      <c r="Z29" s="281"/>
      <c r="AA29" s="281"/>
      <c r="AB29" s="281"/>
      <c r="AC29" s="7"/>
      <c r="AD29" s="7"/>
      <c r="AE29" s="7"/>
      <c r="AF29" s="7"/>
      <c r="AG29" s="7" t="e">
        <f>+IF(AL29=MIN($AL$29:$AL$34),1,0)</f>
        <v>#N/A</v>
      </c>
      <c r="AH29" s="116">
        <v>1</v>
      </c>
      <c r="AI29" s="117" t="e">
        <f>+$T$12</f>
        <v>#N/A</v>
      </c>
      <c r="AJ29" s="118" t="e">
        <f>+IF($G$32="Dura",VLOOKUP(AI29,Q_Mandibula1_Duro[],2),IF($G$32="Media",VLOOKUP(AI29,Q_Mandibula1_medio[],2),VLOOKUP(AI29,Q_Mandibula1_blando[],2)))</f>
        <v>#N/A</v>
      </c>
      <c r="AK29" s="118" t="s">
        <v>4</v>
      </c>
      <c r="AL29" s="7" t="e">
        <f t="shared" si="9"/>
        <v>#N/A</v>
      </c>
      <c r="AM29" s="7"/>
      <c r="AN29" s="7"/>
    </row>
    <row r="30" spans="1:40" ht="14.4" x14ac:dyDescent="0.3">
      <c r="A30" s="265" t="s">
        <v>120</v>
      </c>
      <c r="B30" s="266"/>
      <c r="C30" s="266"/>
      <c r="D30" s="266"/>
      <c r="E30" s="7"/>
      <c r="F30" s="274" t="s">
        <v>121</v>
      </c>
      <c r="G30" s="275"/>
      <c r="H30" s="275"/>
      <c r="I30" s="275"/>
      <c r="J30" s="275"/>
      <c r="K30" s="275"/>
      <c r="L30" s="275"/>
      <c r="M30" s="275"/>
      <c r="N30" s="275"/>
      <c r="O30" s="7"/>
      <c r="P30" s="70" t="s">
        <v>155</v>
      </c>
      <c r="Q30" s="71"/>
      <c r="R30" s="71"/>
      <c r="S30" s="71"/>
      <c r="T30" s="71"/>
      <c r="U30" s="71"/>
      <c r="V30" s="71"/>
      <c r="Y30" s="7"/>
      <c r="Z30" s="140"/>
      <c r="AA30" s="7"/>
      <c r="AB30" s="7"/>
      <c r="AC30" s="7"/>
      <c r="AD30" s="7"/>
      <c r="AE30" s="7"/>
      <c r="AF30" s="7"/>
      <c r="AG30" s="7" t="e">
        <f t="shared" ref="AG30:AG34" si="21">+IF(AL30=MIN($AL$29:$AL$34),1,0)</f>
        <v>#N/A</v>
      </c>
      <c r="AH30" s="116">
        <v>1</v>
      </c>
      <c r="AI30" s="117" t="e">
        <f t="shared" ref="AI30:AI34" si="22">+$T$12</f>
        <v>#N/A</v>
      </c>
      <c r="AJ30" s="118" t="e">
        <f>+IF($G$32="Dura",VLOOKUP(AI30,Q_Mandibula1_Duro[],3),IF($G$32="Media",VLOOKUP(AI30,Q_Mandibula1_medio[],3),VLOOKUP(AI30,Q_Mandibula1_blando[],3)))</f>
        <v>#N/A</v>
      </c>
      <c r="AK30" s="118" t="s">
        <v>5</v>
      </c>
      <c r="AL30" s="7" t="e">
        <f t="shared" si="9"/>
        <v>#N/A</v>
      </c>
      <c r="AM30" s="7"/>
      <c r="AN30" s="7"/>
    </row>
    <row r="31" spans="1:40" ht="14.4" x14ac:dyDescent="0.3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29" t="s">
        <v>14</v>
      </c>
      <c r="V31" s="7"/>
      <c r="Y31" s="7"/>
      <c r="Z31" s="140"/>
      <c r="AA31" s="7"/>
      <c r="AB31" s="7"/>
      <c r="AC31" s="7"/>
      <c r="AD31" s="7"/>
      <c r="AE31" s="7"/>
      <c r="AF31" s="7"/>
      <c r="AG31" s="7" t="e">
        <f t="shared" si="21"/>
        <v>#N/A</v>
      </c>
      <c r="AH31" s="116">
        <v>1</v>
      </c>
      <c r="AI31" s="117" t="e">
        <f t="shared" si="22"/>
        <v>#N/A</v>
      </c>
      <c r="AJ31" s="118" t="e">
        <f>+IF($G$32="Dura",VLOOKUP(AI31,Q_Mandibula1_Duro[],4),IF($G$32="Media",VLOOKUP(AI31,Q_Mandibula1_medio[],4),VLOOKUP(AI31,Q_Mandibula1_blando[],4)))</f>
        <v>#N/A</v>
      </c>
      <c r="AK31" s="118" t="s">
        <v>6</v>
      </c>
      <c r="AL31" s="7" t="e">
        <f t="shared" si="9"/>
        <v>#N/A</v>
      </c>
      <c r="AM31" s="7"/>
      <c r="AN31" s="7"/>
    </row>
    <row r="32" spans="1:40" ht="14.4" x14ac:dyDescent="0.3">
      <c r="A32" s="45" t="s">
        <v>118</v>
      </c>
      <c r="B32" s="46" t="s">
        <v>119</v>
      </c>
      <c r="C32" s="45" t="s">
        <v>117</v>
      </c>
      <c r="D32" s="7"/>
      <c r="E32" s="7"/>
      <c r="F32" s="50" t="s">
        <v>122</v>
      </c>
      <c r="G32" s="2" t="str">
        <f>+VLOOKUP(B7,Dureza_Materiales[],2,0)</f>
        <v>Blanda</v>
      </c>
      <c r="H32" s="7" t="s">
        <v>142</v>
      </c>
      <c r="I32" s="7"/>
      <c r="J32" s="7"/>
      <c r="K32" s="7"/>
      <c r="L32" s="7"/>
      <c r="M32" s="7"/>
      <c r="N32" s="7"/>
      <c r="O32" s="7"/>
      <c r="P32" s="261" t="s">
        <v>152</v>
      </c>
      <c r="Q32" s="261"/>
      <c r="R32" s="7"/>
      <c r="S32" s="7"/>
      <c r="U32" s="29" t="str">
        <f>+TEXT(+IF(SUM($K$35:$K$40)=1,$G$40,$G$41),"# ?/?")</f>
        <v xml:space="preserve">2    </v>
      </c>
      <c r="V32" s="51" t="s">
        <v>158</v>
      </c>
      <c r="Y32" s="7"/>
      <c r="Z32" s="140"/>
      <c r="AA32" s="7"/>
      <c r="AB32" s="7"/>
      <c r="AC32" s="7"/>
      <c r="AD32" s="7"/>
      <c r="AE32" s="7"/>
      <c r="AF32" s="7"/>
      <c r="AG32" s="7" t="e">
        <f t="shared" si="21"/>
        <v>#N/A</v>
      </c>
      <c r="AH32" s="116">
        <v>1</v>
      </c>
      <c r="AI32" s="117" t="e">
        <f t="shared" si="22"/>
        <v>#N/A</v>
      </c>
      <c r="AJ32" s="118" t="e">
        <f>+IF($G$32="Dura",VLOOKUP(AI32,Q_Mandibula1_Duro[],5),IF($G$32="Media",VLOOKUP(AI32,Q_Mandibula1_medio[],5),VLOOKUP(AI32,Q_Mandibula1_blando[],5)))</f>
        <v>#N/A</v>
      </c>
      <c r="AK32" s="118" t="s">
        <v>11</v>
      </c>
      <c r="AL32" s="7" t="e">
        <f t="shared" si="9"/>
        <v>#N/A</v>
      </c>
      <c r="AM32" s="7"/>
      <c r="AN32" s="7"/>
    </row>
    <row r="33" spans="1:40" ht="14.4" x14ac:dyDescent="0.3">
      <c r="A33" s="47">
        <f>+INDEX('Curvas Granul. M'!$B$34:$D$40,MATCH(DimensionadorTrit!$C$10,'Curvas Granul. M'!$B$34:$B$40,1),1)</f>
        <v>1.2</v>
      </c>
      <c r="B33" s="48">
        <f>+INDEX('Curvas Granul. M'!$B$34:$D$40,MATCH(DimensionadorTrit!$C$10,'Curvas Granul. M'!$B$34:$B$40,1),2)</f>
        <v>0.5</v>
      </c>
      <c r="C33" s="47" t="str">
        <f>+INDEX('Curvas Granul. M'!$B$34:$D$40,MATCH(DimensionadorTrit!$C$10,'Curvas Granul. M'!$B$34:$B$40,1),3)</f>
        <v>Grafico 1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45" t="s">
        <v>156</v>
      </c>
      <c r="Q33" s="45" t="s">
        <v>151</v>
      </c>
      <c r="R33" s="45" t="s">
        <v>153</v>
      </c>
      <c r="S33" s="45" t="s">
        <v>75</v>
      </c>
      <c r="U33" s="72">
        <f>+HLOOKUP($U$32,IF(SUM($J$35:$J$40)=1,Curvas_gran_graf_1[#All],Curvas_gran_graf_2[#All]),2,0)</f>
        <v>0</v>
      </c>
      <c r="V33" s="33">
        <v>0</v>
      </c>
      <c r="Y33" s="7"/>
      <c r="Z33" s="140"/>
      <c r="AA33" s="7"/>
      <c r="AB33" s="7"/>
      <c r="AC33" s="7"/>
      <c r="AD33" s="7"/>
      <c r="AE33" s="7"/>
      <c r="AF33" s="7"/>
      <c r="AG33" s="7" t="e">
        <f>+IF(AL33=MIN($AL$29:$AL$34),1,0)</f>
        <v>#N/A</v>
      </c>
      <c r="AH33" s="116">
        <v>1</v>
      </c>
      <c r="AI33" s="117" t="e">
        <f t="shared" si="22"/>
        <v>#N/A</v>
      </c>
      <c r="AJ33" s="118" t="e">
        <f>+IF($G$32="Dura",VLOOKUP(AI33,Q_Mandibula1_Duro[],6),IF($G$32="Media",VLOOKUP(AI33,Q_Mandibula1_medio[],6),VLOOKUP(AI33,Q_Mandibula1_blando[],6)))</f>
        <v>#N/A</v>
      </c>
      <c r="AK33" s="118" t="s">
        <v>12</v>
      </c>
      <c r="AL33" s="7" t="e">
        <f t="shared" si="9"/>
        <v>#N/A</v>
      </c>
      <c r="AM33" s="7"/>
      <c r="AN33" s="7"/>
    </row>
    <row r="34" spans="1:40" ht="14.4" x14ac:dyDescent="0.3">
      <c r="A34" s="7"/>
      <c r="B34" s="7"/>
      <c r="C34" s="7"/>
      <c r="D34" s="7"/>
      <c r="E34" s="7"/>
      <c r="F34" s="45" t="s">
        <v>149</v>
      </c>
      <c r="G34" s="46" t="s">
        <v>119</v>
      </c>
      <c r="H34" s="45" t="s">
        <v>150</v>
      </c>
      <c r="I34" s="149" t="s">
        <v>46</v>
      </c>
      <c r="J34" s="249" t="s">
        <v>236</v>
      </c>
      <c r="K34" s="249" t="s">
        <v>237</v>
      </c>
      <c r="L34" s="249" t="s">
        <v>234</v>
      </c>
      <c r="M34" s="149"/>
      <c r="N34" s="251" t="s">
        <v>235</v>
      </c>
      <c r="O34" s="251" t="s">
        <v>233</v>
      </c>
      <c r="P34" s="248">
        <f>+$C$10</f>
        <v>1.5</v>
      </c>
      <c r="Q34" s="48">
        <f>+$C$11</f>
        <v>1</v>
      </c>
      <c r="R34" s="73">
        <f>1-_xlfn.FORECAST.LINEAR(Q34,$AI$2:$AI$3,$AH$2:$AH$3)</f>
        <v>0.75</v>
      </c>
      <c r="S34" s="126">
        <f>+R34*$C$6</f>
        <v>112.5</v>
      </c>
      <c r="U34" s="72">
        <f>+HLOOKUP($U$32,IF(SUM($J$35:$J$40)=1,Curvas_gran_graf_1[#All],Curvas_gran_graf_2[#All]),3,0)</f>
        <v>0.6</v>
      </c>
      <c r="V34" s="34">
        <v>0.1</v>
      </c>
      <c r="Y34" s="7"/>
      <c r="Z34" s="140"/>
      <c r="AA34" s="7"/>
      <c r="AB34" s="7"/>
      <c r="AC34" s="7"/>
      <c r="AD34" s="7"/>
      <c r="AE34" s="7"/>
      <c r="AF34" s="7"/>
      <c r="AG34" s="7" t="e">
        <f t="shared" si="21"/>
        <v>#N/A</v>
      </c>
      <c r="AH34" s="116">
        <v>1</v>
      </c>
      <c r="AI34" s="117" t="e">
        <f t="shared" si="22"/>
        <v>#N/A</v>
      </c>
      <c r="AJ34" s="118" t="e">
        <f>+IF($G$32="Dura",VLOOKUP(AI34,Q_Mandibula1_Duro[],7),IF($G$32="Media",VLOOKUP(AI34,Q_Mandibula1_medio[],7),VLOOKUP(AI34,Q_Mandibula1_blando[],7)))</f>
        <v>#N/A</v>
      </c>
      <c r="AK34" s="118" t="s">
        <v>13</v>
      </c>
      <c r="AL34" s="7" t="e">
        <f t="shared" si="9"/>
        <v>#N/A</v>
      </c>
      <c r="AM34" s="7"/>
      <c r="AN34" s="7"/>
    </row>
    <row r="35" spans="1:40" ht="14.4" x14ac:dyDescent="0.3">
      <c r="A35" s="45" t="s">
        <v>118</v>
      </c>
      <c r="B35" s="46" t="s">
        <v>119</v>
      </c>
      <c r="C35" s="45" t="s">
        <v>117</v>
      </c>
      <c r="D35" s="7"/>
      <c r="E35" s="7" t="str">
        <f>K35</f>
        <v/>
      </c>
      <c r="F35" s="47">
        <v>1</v>
      </c>
      <c r="G35" s="48">
        <f>+IF($G$32="Dura",VLOOKUP($B$33,Q_Mandibula1_Duro[],1),IF($G$32="Media",VLOOKUP($B$33,Q_Mandibula1_medio[],1),VLOOKUP($B$33,Q_Mandibula1_blando[],1)))</f>
        <v>0.5</v>
      </c>
      <c r="H35" s="47">
        <f>+IF($G$32="Dura",VLOOKUP($B$33,Q_Mandibula1_Duro[],2),IF($G$32="Media",VLOOKUP($B$33,Q_Mandibula1_medio[],2),VLOOKUP($B$33,Q_Mandibula1_blando[],2)))</f>
        <v>6</v>
      </c>
      <c r="I35" s="47" t="s">
        <v>4</v>
      </c>
      <c r="J35" s="47" t="str">
        <f>+IF(L35=1,VLOOKUP(I35,$AJ$40:$AK$49,2,0),"NO")</f>
        <v>NO</v>
      </c>
      <c r="K35" s="47" t="str">
        <f>IF(L35=1,IF(J35=MIN($J$35:$J$44),1,0),"")</f>
        <v/>
      </c>
      <c r="L35" s="47" t="b">
        <f>IF(O35=MIN($O$35:$O$44),1)</f>
        <v>0</v>
      </c>
      <c r="M35" s="47"/>
      <c r="N35" s="2" t="str">
        <f>IF(O35="","NO SIRVE","CUMPLE")</f>
        <v>CUMPLE</v>
      </c>
      <c r="O35" s="250">
        <f>IFERROR(ROUNDUP($C$5/H35,0),"")</f>
        <v>25</v>
      </c>
      <c r="P35" s="248">
        <f>+$C$12</f>
        <v>1</v>
      </c>
      <c r="Q35" s="48">
        <f>+$C$13</f>
        <v>0.5</v>
      </c>
      <c r="R35" s="73">
        <f>+_xlfn.FORECAST.LINEAR(P35,AI2:AI3,AH2:AH3)-_xlfn.FORECAST.LINEAR(Q35,AI4:AI5,AH4:AH5)</f>
        <v>0.16666666666666666</v>
      </c>
      <c r="S35" s="126">
        <f t="shared" ref="S35:S37" si="23">+R35*$C$6</f>
        <v>25</v>
      </c>
      <c r="U35" s="72">
        <f>+HLOOKUP($U$32,IF(SUM($J$35:$J$40)=1,Curvas_gran_graf_1[#All],Curvas_gran_graf_2[#All]),4,0)</f>
        <v>0.9</v>
      </c>
      <c r="V35" s="33">
        <v>0.2</v>
      </c>
      <c r="Y35" s="7"/>
      <c r="Z35" s="140"/>
      <c r="AA35" s="7"/>
      <c r="AB35" s="7"/>
      <c r="AC35" s="7"/>
      <c r="AD35" s="7"/>
      <c r="AE35" s="7"/>
      <c r="AF35" s="7"/>
      <c r="AG35" s="7" t="e">
        <f>+IF(AL35=MIN($AL$35:$AL$38),1,0)</f>
        <v>#N/A</v>
      </c>
      <c r="AH35" s="2">
        <v>2</v>
      </c>
      <c r="AI35" s="115" t="e">
        <f>+$T$13</f>
        <v>#N/A</v>
      </c>
      <c r="AJ35" s="47" t="e">
        <f>+IF($G$32="Dura",VLOOKUP(AI35,Q_Mandibula2_Duro[],2),IF($G$32="Media",VLOOKUP(AI35,Q_Mandibula2_medio[],2),VLOOKUP(AI35,Q_Mandibula2_blando[],2)))</f>
        <v>#N/A</v>
      </c>
      <c r="AK35" s="47" t="s">
        <v>7</v>
      </c>
      <c r="AL35" s="7" t="e">
        <f t="shared" si="9"/>
        <v>#N/A</v>
      </c>
      <c r="AM35" s="7"/>
      <c r="AN35" s="7"/>
    </row>
    <row r="36" spans="1:40" ht="14.4" x14ac:dyDescent="0.3">
      <c r="A36" s="47">
        <f>IF(C10&lt;'Curvas Granul. M'!F34,'Curvas Granul. M'!F34,INDEX('Curvas Granul. M'!$F$34:$H$46,MATCH(DimensionadorTrit!$C$10,'Curvas Granul. M'!F34:F46,1),1))</f>
        <v>3.3</v>
      </c>
      <c r="B36" s="48">
        <f>+IF(C10&lt;'Curvas Granul. M'!F34,'Curvas Granul. M'!G34,INDEX('Curvas Granul. M'!$F$34:$H$46,MATCH(DimensionadorTrit!$C$10,'Curvas Granul. M'!$F$34:$F$46,1),2))</f>
        <v>2</v>
      </c>
      <c r="C36" s="47" t="str">
        <f>+IF(C10&lt;'Curvas Granul. M'!F34,'Curvas Granul. M'!H34,INDEX('Curvas Granul. M'!$F$34:$H$46,MATCH(DimensionadorTrit!$C$10,'Curvas Granul. M'!$F$34:$F$46,1),3))</f>
        <v>Grafico 2</v>
      </c>
      <c r="D36" s="7"/>
      <c r="E36" s="144" t="str">
        <f t="shared" ref="E36:E44" si="24">K36</f>
        <v/>
      </c>
      <c r="F36" s="47">
        <v>1</v>
      </c>
      <c r="G36" s="48">
        <f>+IF($G$32="Dura",VLOOKUP($B$33,Q_Mandibula1_Duro[],1),IF($G$32="Media",VLOOKUP($B$33,Q_Mandibula1_medio[],1),VLOOKUP($B$33,Q_Mandibula1_blando[],1)))</f>
        <v>0.5</v>
      </c>
      <c r="H36" s="47">
        <f>+IF($G$32="Dura",VLOOKUP($B$33,Q_Mandibula1_Duro[],3),IF($G$32="Media",VLOOKUP($B$33,Q_Mandibula1_medio[],3),VLOOKUP($B$33,Q_Mandibula1_blando[],3)))</f>
        <v>7</v>
      </c>
      <c r="I36" s="47" t="s">
        <v>5</v>
      </c>
      <c r="J36" s="47" t="str">
        <f t="shared" ref="J36:J44" si="25">+IF(L36=1,VLOOKUP(I36,$AJ$40:$AK$49,2,0),"NO")</f>
        <v>NO</v>
      </c>
      <c r="K36" s="47" t="str">
        <f t="shared" ref="K36:K44" si="26">IF(L36=1,IF(J36=MIN($J$35:$J$44),1,0),"")</f>
        <v/>
      </c>
      <c r="L36" s="47" t="b">
        <f t="shared" ref="L36:L44" si="27">IF(O36=MIN($O$35:$O$44),1)</f>
        <v>0</v>
      </c>
      <c r="M36" s="47"/>
      <c r="N36" s="2" t="str">
        <f t="shared" ref="N36:N44" si="28">IF(O36="","NO SIRVE","CUMPLE")</f>
        <v>CUMPLE</v>
      </c>
      <c r="O36" s="250">
        <f t="shared" ref="O36:O44" si="29">IFERROR(ROUNDUP($C$5/H36,0),"")</f>
        <v>22</v>
      </c>
      <c r="P36" s="248">
        <f>+$C$14</f>
        <v>0.5</v>
      </c>
      <c r="Q36" s="48">
        <f>+$C$15</f>
        <v>0</v>
      </c>
      <c r="R36" s="73">
        <f>+_xlfn.FORECAST.LINEAR(P36,AI4:AI5,AH4:AH5)-_xlfn.FORECAST.LINEAR(Q36,AI6:AI7,AH6:AH7)</f>
        <v>8.3333333333333343E-2</v>
      </c>
      <c r="S36" s="126">
        <f t="shared" si="23"/>
        <v>12.500000000000002</v>
      </c>
      <c r="U36" s="72">
        <f>+HLOOKUP($U$32,IF(SUM($J$35:$J$40)=1,Curvas_gran_graf_1[#All],Curvas_gran_graf_2[#All]),5,0)</f>
        <v>1.1000000000000001</v>
      </c>
      <c r="V36" s="34">
        <v>0.3</v>
      </c>
      <c r="Y36" s="7"/>
      <c r="Z36" s="140"/>
      <c r="AA36" s="7"/>
      <c r="AB36" s="7"/>
      <c r="AC36" s="7"/>
      <c r="AD36" s="7"/>
      <c r="AE36" s="7"/>
      <c r="AF36" s="7"/>
      <c r="AG36" s="7" t="e">
        <f t="shared" ref="AG36:AG38" si="30">+IF(AL36=MIN($AL$35:$AL$38),1,0)</f>
        <v>#N/A</v>
      </c>
      <c r="AH36" s="2">
        <v>2</v>
      </c>
      <c r="AI36" s="115" t="e">
        <f t="shared" ref="AI36:AI38" si="31">+$T$13</f>
        <v>#N/A</v>
      </c>
      <c r="AJ36" s="47" t="e">
        <f>+IF($G$32="Dura",VLOOKUP(AI36,Q_Mandibula2_Duro[],3),IF($G$32="Media",VLOOKUP(AI36,Q_Mandibula2_medio[],3),VLOOKUP(AI36,Q_Mandibula2_blando[],3)))</f>
        <v>#N/A</v>
      </c>
      <c r="AK36" s="47" t="s">
        <v>8</v>
      </c>
      <c r="AL36" s="7" t="e">
        <f t="shared" si="9"/>
        <v>#N/A</v>
      </c>
      <c r="AM36" s="7"/>
      <c r="AN36" s="7"/>
    </row>
    <row r="37" spans="1:40" ht="14.4" x14ac:dyDescent="0.3">
      <c r="E37" s="144" t="str">
        <f t="shared" si="24"/>
        <v/>
      </c>
      <c r="F37" s="47">
        <v>1</v>
      </c>
      <c r="G37" s="48">
        <f>+IF($G$32="Dura",VLOOKUP($B$33,Q_Mandibula1_Duro[],1),IF($G$32="Media",VLOOKUP($B$33,Q_Mandibula1_medio[],1),VLOOKUP($B$33,Q_Mandibula1_blando[],1)))</f>
        <v>0.5</v>
      </c>
      <c r="H37" s="47">
        <f>+IF($G$32="Dura",VLOOKUP($B$33,Q_Mandibula1_Duro[],4),IF($G$32="Media",VLOOKUP($B$33,Q_Mandibula1_medio[],4),VLOOKUP($B$33,Q_Mandibula1_blando[],4)))</f>
        <v>0</v>
      </c>
      <c r="I37" s="47" t="s">
        <v>6</v>
      </c>
      <c r="J37" s="47" t="str">
        <f t="shared" si="25"/>
        <v>NO</v>
      </c>
      <c r="K37" s="47" t="str">
        <f t="shared" si="26"/>
        <v/>
      </c>
      <c r="L37" s="47" t="b">
        <f t="shared" si="27"/>
        <v>0</v>
      </c>
      <c r="M37" s="47"/>
      <c r="N37" s="2" t="str">
        <f t="shared" si="28"/>
        <v>NO SIRVE</v>
      </c>
      <c r="O37" s="250" t="str">
        <f t="shared" si="29"/>
        <v/>
      </c>
      <c r="P37" s="248">
        <f>+$C$16</f>
        <v>0</v>
      </c>
      <c r="Q37" s="48">
        <f>+$C$17</f>
        <v>0</v>
      </c>
      <c r="R37" s="73">
        <f>+_xlfn.FORECAST.LINEAR(P37,AI6:AI7,AH6:AH7)</f>
        <v>6.9388939039072284E-18</v>
      </c>
      <c r="S37" s="126">
        <f t="shared" si="23"/>
        <v>1.0408340855860843E-15</v>
      </c>
      <c r="U37" s="72">
        <f>+HLOOKUP($U$32,IF(SUM($J$35:$J$40)=1,Curvas_gran_graf_1[#All],Curvas_gran_graf_2[#All]),6,0)</f>
        <v>1.5</v>
      </c>
      <c r="V37" s="33">
        <v>0.4</v>
      </c>
      <c r="Y37" s="7"/>
      <c r="Z37" s="140"/>
      <c r="AA37" s="7"/>
      <c r="AB37" s="7"/>
      <c r="AC37" s="7"/>
      <c r="AD37" s="7"/>
      <c r="AE37" s="7"/>
      <c r="AF37" s="7"/>
      <c r="AG37" s="7" t="e">
        <f t="shared" si="30"/>
        <v>#N/A</v>
      </c>
      <c r="AH37" s="2">
        <v>2</v>
      </c>
      <c r="AI37" s="115" t="e">
        <f t="shared" si="31"/>
        <v>#N/A</v>
      </c>
      <c r="AJ37" s="47" t="e">
        <f>+IF($G$32="Dura",VLOOKUP(AI37,Q_Mandibula2_Duro[],4),IF($G$32="Media",VLOOKUP(AI37,Q_Mandibula2_medio[],4),VLOOKUP(AI37,Q_Mandibula2_blando[],4)))</f>
        <v>#N/A</v>
      </c>
      <c r="AK37" s="47" t="s">
        <v>9</v>
      </c>
      <c r="AL37" s="7" t="e">
        <f t="shared" si="9"/>
        <v>#N/A</v>
      </c>
      <c r="AM37" s="7"/>
      <c r="AN37" s="7"/>
    </row>
    <row r="38" spans="1:40" ht="14.4" x14ac:dyDescent="0.3">
      <c r="A38" s="253" t="s">
        <v>238</v>
      </c>
      <c r="B38" s="253">
        <f>MIN(O35:O44)</f>
        <v>2</v>
      </c>
      <c r="E38" s="144" t="str">
        <f t="shared" si="24"/>
        <v/>
      </c>
      <c r="F38" s="47">
        <v>1</v>
      </c>
      <c r="G38" s="48">
        <f>+IF($G$32="Dura",VLOOKUP($B$33,Q_Mandibula1_Duro[],1),IF($G$32="Media",VLOOKUP($B$33,Q_Mandibula1_medio[],1),VLOOKUP($B$33,Q_Mandibula1_blando[],1)))</f>
        <v>0.5</v>
      </c>
      <c r="H38" s="47">
        <f>+IF($G$32="Dura",VLOOKUP($B$33,Q_Mandibula1_Duro[],5),IF($G$32="Media",VLOOKUP($B$33,Q_Mandibula1_medio[],5),VLOOKUP($B$33,Q_Mandibula1_blando[],5)))</f>
        <v>0</v>
      </c>
      <c r="I38" s="47" t="s">
        <v>11</v>
      </c>
      <c r="J38" s="47" t="str">
        <f t="shared" si="25"/>
        <v>NO</v>
      </c>
      <c r="K38" s="47" t="str">
        <f t="shared" si="26"/>
        <v/>
      </c>
      <c r="L38" s="47" t="b">
        <f t="shared" si="27"/>
        <v>0</v>
      </c>
      <c r="M38" s="47"/>
      <c r="N38" s="2" t="str">
        <f t="shared" si="28"/>
        <v>NO SIRVE</v>
      </c>
      <c r="O38" s="250" t="str">
        <f t="shared" si="29"/>
        <v/>
      </c>
      <c r="P38" s="262" t="s">
        <v>154</v>
      </c>
      <c r="Q38" s="263"/>
      <c r="R38" s="229">
        <f>+SUM(R34:R37)</f>
        <v>1</v>
      </c>
      <c r="S38" s="125">
        <f>+SUM(S34:S37)</f>
        <v>150</v>
      </c>
      <c r="U38" s="72">
        <f>+HLOOKUP($U$32,IF(SUM($J$35:$J$40)=1,Curvas_gran_graf_1[#All],Curvas_gran_graf_2[#All]),7,0)</f>
        <v>1.9</v>
      </c>
      <c r="V38" s="34">
        <v>0.5</v>
      </c>
      <c r="Y38" s="7"/>
      <c r="Z38" s="140"/>
      <c r="AA38" s="7"/>
      <c r="AB38" s="7"/>
      <c r="AC38" s="7"/>
      <c r="AD38" s="7"/>
      <c r="AE38" s="7"/>
      <c r="AF38" s="7"/>
      <c r="AG38" s="7" t="e">
        <f t="shared" si="30"/>
        <v>#N/A</v>
      </c>
      <c r="AH38" s="2">
        <v>2</v>
      </c>
      <c r="AI38" s="115" t="e">
        <f t="shared" si="31"/>
        <v>#N/A</v>
      </c>
      <c r="AJ38" s="47" t="e">
        <f>+IF($G$32="Dura",VLOOKUP(AI38,Q_Mandibula2_Duro[],5),IF($G$32="Media",VLOOKUP(AI38,Q_Mandibula2_medio[],5),VLOOKUP(AI38,Q_Mandibula2_blando[],5)))</f>
        <v>#N/A</v>
      </c>
      <c r="AK38" s="47" t="s">
        <v>10</v>
      </c>
      <c r="AL38" s="7" t="e">
        <f>+IF(AJ38&gt;$C$6,(AJ38-$C$6),"NO")</f>
        <v>#N/A</v>
      </c>
      <c r="AM38" s="7"/>
      <c r="AN38" s="7"/>
    </row>
    <row r="39" spans="1:40" ht="14.4" x14ac:dyDescent="0.3">
      <c r="E39" s="144" t="str">
        <f t="shared" si="24"/>
        <v/>
      </c>
      <c r="F39" s="47">
        <v>1</v>
      </c>
      <c r="G39" s="48">
        <f>+IF($G$32="Dura",VLOOKUP($B$33,Q_Mandibula1_Duro[],1),IF($G$32="Media",VLOOKUP($B$33,Q_Mandibula1_medio[],1),VLOOKUP($B$33,Q_Mandibula1_blando[],1)))</f>
        <v>0.5</v>
      </c>
      <c r="H39" s="47">
        <f>+IF($G$32="Dura",VLOOKUP($B$33,Q_Mandibula1_Duro[],6),IF($G$32="Media",VLOOKUP($B$33,Q_Mandibula1_medio[],6),VLOOKUP($B$33,Q_Mandibula1_blando[],6)))</f>
        <v>0</v>
      </c>
      <c r="I39" s="47" t="s">
        <v>12</v>
      </c>
      <c r="J39" s="47" t="str">
        <f t="shared" si="25"/>
        <v>NO</v>
      </c>
      <c r="K39" s="47" t="str">
        <f t="shared" si="26"/>
        <v/>
      </c>
      <c r="L39" s="47" t="b">
        <f t="shared" si="27"/>
        <v>0</v>
      </c>
      <c r="M39" s="47"/>
      <c r="N39" s="2" t="str">
        <f t="shared" si="28"/>
        <v>NO SIRVE</v>
      </c>
      <c r="O39" s="250" t="str">
        <f t="shared" si="29"/>
        <v/>
      </c>
      <c r="U39" s="72">
        <f>+HLOOKUP($U$32,IF(SUM($J$35:$J$40)=1,Curvas_gran_graf_1[#All],Curvas_gran_graf_2[#All]),8,0)</f>
        <v>2.2000000000000002</v>
      </c>
      <c r="V39" s="33">
        <v>0.6</v>
      </c>
      <c r="Y39" s="7"/>
      <c r="Z39" s="140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</row>
    <row r="40" spans="1:40" ht="14.4" x14ac:dyDescent="0.3">
      <c r="A40" s="121"/>
      <c r="E40" s="144" t="str">
        <f t="shared" si="24"/>
        <v/>
      </c>
      <c r="F40" s="47">
        <v>1</v>
      </c>
      <c r="G40" s="48">
        <v>3</v>
      </c>
      <c r="H40" s="47">
        <f>+IF($G$32="Dura",VLOOKUP($B$33,Q_Mandibula1_Duro[],7),IF($G$32="Media",VLOOKUP($B$33,Q_Mandibula1_medio[],7),VLOOKUP($B$33,Q_Mandibula1_blando[],7)))</f>
        <v>0</v>
      </c>
      <c r="I40" s="47" t="s">
        <v>13</v>
      </c>
      <c r="J40" s="47" t="str">
        <f t="shared" si="25"/>
        <v>NO</v>
      </c>
      <c r="K40" s="47" t="str">
        <f t="shared" si="26"/>
        <v/>
      </c>
      <c r="L40" s="47" t="b">
        <f t="shared" si="27"/>
        <v>0</v>
      </c>
      <c r="M40" s="47"/>
      <c r="N40" s="2" t="str">
        <f t="shared" si="28"/>
        <v>NO SIRVE</v>
      </c>
      <c r="O40" s="250" t="str">
        <f t="shared" si="29"/>
        <v/>
      </c>
      <c r="U40" s="72">
        <f>+HLOOKUP($U$32,IF(SUM($J$35:$J$40)=1,Curvas_gran_graf_1[#All],Curvas_gran_graf_2[#All]),9,0)</f>
        <v>2.4</v>
      </c>
      <c r="V40" s="34">
        <v>0.7</v>
      </c>
      <c r="Y40" s="7"/>
      <c r="Z40" s="140"/>
      <c r="AA40" s="7"/>
      <c r="AB40" s="7"/>
      <c r="AC40" s="7"/>
      <c r="AD40" s="7"/>
      <c r="AE40" s="7"/>
      <c r="AF40" s="7"/>
      <c r="AG40" s="7"/>
      <c r="AH40" s="7"/>
      <c r="AI40" s="7"/>
      <c r="AJ40" s="47" t="s">
        <v>4</v>
      </c>
      <c r="AK40" s="7">
        <v>160</v>
      </c>
      <c r="AL40" s="7"/>
      <c r="AM40" s="7"/>
      <c r="AN40" s="7"/>
    </row>
    <row r="41" spans="1:40" ht="14.4" x14ac:dyDescent="0.3">
      <c r="E41" s="144">
        <f t="shared" si="24"/>
        <v>1</v>
      </c>
      <c r="F41" s="47">
        <v>2</v>
      </c>
      <c r="G41" s="48">
        <f>+IF($G$32="Dura",VLOOKUP($B$36,Q_Mandibula2_Duro[],1),IF($G$32="Media",VLOOKUP($B$36,Q_Mandibula2_medio[],1),VLOOKUP($B$36,Q_Mandibula2_blando[],1)))</f>
        <v>2</v>
      </c>
      <c r="H41" s="47">
        <f>+IF($G$32="Dura",VLOOKUP($B$36,Q_Mandibula2_Duro[],2),IF($G$32="Media",VLOOKUP($B$36,Q_Mandibula2_medio[],2),VLOOKUP($B$36,Q_Mandibula2_blando[],2)))</f>
        <v>85</v>
      </c>
      <c r="I41" s="47" t="s">
        <v>7</v>
      </c>
      <c r="J41" s="47">
        <f t="shared" si="25"/>
        <v>720</v>
      </c>
      <c r="K41" s="47">
        <f t="shared" si="26"/>
        <v>1</v>
      </c>
      <c r="L41" s="47">
        <f t="shared" si="27"/>
        <v>1</v>
      </c>
      <c r="M41" s="47"/>
      <c r="N41" s="2" t="str">
        <f t="shared" si="28"/>
        <v>CUMPLE</v>
      </c>
      <c r="O41" s="250">
        <f t="shared" si="29"/>
        <v>2</v>
      </c>
      <c r="U41" s="72">
        <f>+HLOOKUP($U$32,IF(SUM($J$35:$J$40)=1,Curvas_gran_graf_1[#All],Curvas_gran_graf_2[#All]),10,0)</f>
        <v>2.5</v>
      </c>
      <c r="V41" s="33">
        <v>0.8</v>
      </c>
      <c r="Y41" s="7"/>
      <c r="Z41" s="140"/>
      <c r="AA41" s="7"/>
      <c r="AB41" s="7"/>
      <c r="AC41" s="7"/>
      <c r="AD41" s="7"/>
      <c r="AE41" s="7"/>
      <c r="AF41" s="7"/>
      <c r="AG41" s="7"/>
      <c r="AH41" s="7"/>
      <c r="AI41" s="7"/>
      <c r="AJ41" s="47" t="s">
        <v>5</v>
      </c>
      <c r="AK41" s="7">
        <v>210</v>
      </c>
      <c r="AL41" s="7"/>
      <c r="AM41" s="7"/>
      <c r="AN41" s="7"/>
    </row>
    <row r="42" spans="1:40" ht="14.4" x14ac:dyDescent="0.3">
      <c r="E42" s="144" t="str">
        <f t="shared" si="24"/>
        <v/>
      </c>
      <c r="F42" s="47">
        <v>2</v>
      </c>
      <c r="G42" s="48">
        <f>+IF($G$32="Dura",VLOOKUP($B$36,Q_Mandibula2_Duro[],1),IF($G$32="Media",VLOOKUP($B$36,Q_Mandibula2_medio[],1),VLOOKUP($B$36,Q_Mandibula2_blando[],1)))</f>
        <v>2</v>
      </c>
      <c r="H42" s="47">
        <f>+IF($G$32="Dura",VLOOKUP($B$36,Q_Mandibula2_Duro[],3),IF($G$32="Media",VLOOKUP($B$36,Q_Mandibula2_medio[],3),VLOOKUP($B$36,Q_Mandibula2_blando[],3)))</f>
        <v>0</v>
      </c>
      <c r="I42" s="47" t="s">
        <v>8</v>
      </c>
      <c r="J42" s="47" t="str">
        <f t="shared" si="25"/>
        <v>NO</v>
      </c>
      <c r="K42" s="47" t="str">
        <f t="shared" si="26"/>
        <v/>
      </c>
      <c r="L42" s="47" t="b">
        <f t="shared" si="27"/>
        <v>0</v>
      </c>
      <c r="M42" s="47"/>
      <c r="N42" s="2" t="str">
        <f t="shared" si="28"/>
        <v>NO SIRVE</v>
      </c>
      <c r="O42" s="250" t="str">
        <f t="shared" si="29"/>
        <v/>
      </c>
      <c r="R42" s="121"/>
      <c r="U42" s="72">
        <f>+HLOOKUP($U$32,IF(SUM($J$35:$J$40)=1,Curvas_gran_graf_1[#All],Curvas_gran_graf_2[#All]),11,0)</f>
        <v>2.7</v>
      </c>
      <c r="V42" s="34">
        <v>0.9</v>
      </c>
      <c r="Y42" s="7"/>
      <c r="Z42" s="140"/>
      <c r="AA42" s="7"/>
      <c r="AB42" s="7"/>
      <c r="AC42" s="7"/>
      <c r="AD42" s="7"/>
      <c r="AE42" s="7"/>
      <c r="AF42" s="7"/>
      <c r="AG42" s="7"/>
      <c r="AH42" s="7"/>
      <c r="AI42" s="7"/>
      <c r="AJ42" s="47" t="s">
        <v>6</v>
      </c>
      <c r="AK42" s="7">
        <v>300</v>
      </c>
      <c r="AL42" s="7"/>
      <c r="AM42" s="7"/>
      <c r="AN42" s="7"/>
    </row>
    <row r="43" spans="1:40" ht="14.4" x14ac:dyDescent="0.3">
      <c r="E43" s="144" t="str">
        <f t="shared" si="24"/>
        <v/>
      </c>
      <c r="F43" s="47">
        <v>2</v>
      </c>
      <c r="G43" s="48">
        <f>+IF($G$32="Dura",VLOOKUP($B$36,Q_Mandibula2_Duro[],1),IF($G$32="Media",VLOOKUP($B$36,Q_Mandibula2_medio[],1),VLOOKUP($B$36,Q_Mandibula2_blando[],1)))</f>
        <v>2</v>
      </c>
      <c r="H43" s="47">
        <f>+IF($G$32="Dura",VLOOKUP($B$36,Q_Mandibula2_Duro[],4),IF($G$32="Media",VLOOKUP($B$36,Q_Mandibula2_medio[],4),VLOOKUP($B$36,Q_Mandibula2_blando[],4)))</f>
        <v>0</v>
      </c>
      <c r="I43" s="47" t="s">
        <v>9</v>
      </c>
      <c r="J43" s="47" t="str">
        <f t="shared" si="25"/>
        <v>NO</v>
      </c>
      <c r="K43" s="47" t="str">
        <f t="shared" si="26"/>
        <v/>
      </c>
      <c r="L43" s="47" t="b">
        <f t="shared" si="27"/>
        <v>0</v>
      </c>
      <c r="M43" s="47"/>
      <c r="N43" s="2" t="str">
        <f t="shared" si="28"/>
        <v>NO SIRVE</v>
      </c>
      <c r="O43" s="250" t="str">
        <f t="shared" si="29"/>
        <v/>
      </c>
      <c r="R43" s="121"/>
      <c r="S43" s="121"/>
      <c r="U43" s="72">
        <f>+HLOOKUP($U$32,IF(SUM($J$35:$J$40)=1,Curvas_gran_graf_1[#All],Curvas_gran_graf_2[#All]),12,0)</f>
        <v>3.3</v>
      </c>
      <c r="V43" s="33">
        <v>1</v>
      </c>
      <c r="Y43" s="7"/>
      <c r="Z43" s="140"/>
      <c r="AA43" s="7"/>
      <c r="AB43" s="7"/>
      <c r="AC43" s="7"/>
      <c r="AD43" s="7"/>
      <c r="AE43" s="7"/>
      <c r="AF43" s="7"/>
      <c r="AG43" s="7"/>
      <c r="AH43" s="7"/>
      <c r="AI43" s="7"/>
      <c r="AJ43" s="47" t="s">
        <v>11</v>
      </c>
      <c r="AK43" s="7">
        <f>15*24</f>
        <v>360</v>
      </c>
      <c r="AL43" s="7"/>
      <c r="AM43" s="7"/>
      <c r="AN43" s="7"/>
    </row>
    <row r="44" spans="1:40" ht="14.4" x14ac:dyDescent="0.3">
      <c r="E44" s="144" t="str">
        <f t="shared" si="24"/>
        <v/>
      </c>
      <c r="F44" s="47">
        <v>2</v>
      </c>
      <c r="G44" s="48">
        <f>+IF($G$32="Dura",VLOOKUP($B$36,Q_Mandibula2_Duro[],1),IF($G$32="Media",VLOOKUP($B$36,Q_Mandibula2_medio[],1),VLOOKUP($B$36,Q_Mandibula2_blando[],1)))</f>
        <v>2</v>
      </c>
      <c r="H44" s="47">
        <f>+IF($G$32="Dura",VLOOKUP($B$36,Q_Mandibula2_Duro[],5),IF($G$32="Media",VLOOKUP($B$36,Q_Mandibula2_medio[],5),VLOOKUP($B$36,Q_Mandibula2_blando[],5)))</f>
        <v>0</v>
      </c>
      <c r="I44" s="47" t="s">
        <v>10</v>
      </c>
      <c r="J44" s="47" t="str">
        <f t="shared" si="25"/>
        <v>NO</v>
      </c>
      <c r="K44" s="47" t="str">
        <f t="shared" si="26"/>
        <v/>
      </c>
      <c r="L44" s="47" t="b">
        <f t="shared" si="27"/>
        <v>0</v>
      </c>
      <c r="M44" s="47"/>
      <c r="N44" s="2" t="str">
        <f t="shared" si="28"/>
        <v>NO SIRVE</v>
      </c>
      <c r="O44" s="250" t="str">
        <f t="shared" si="29"/>
        <v/>
      </c>
      <c r="P44" s="7"/>
      <c r="Q44" s="7"/>
      <c r="R44" s="121"/>
      <c r="S44" s="121"/>
      <c r="Y44" s="7"/>
      <c r="Z44" s="140"/>
      <c r="AA44" s="7"/>
      <c r="AB44" s="7"/>
      <c r="AC44" s="7"/>
      <c r="AD44" s="7"/>
      <c r="AE44" s="7"/>
      <c r="AF44" s="7"/>
      <c r="AG44" s="7"/>
      <c r="AH44" s="7"/>
      <c r="AI44" s="7"/>
      <c r="AJ44" s="47" t="s">
        <v>12</v>
      </c>
      <c r="AK44" s="7">
        <f>12*36</f>
        <v>432</v>
      </c>
      <c r="AL44" s="7"/>
      <c r="AM44" s="7"/>
      <c r="AN44" s="7"/>
    </row>
    <row r="45" spans="1:40" ht="14.4" x14ac:dyDescent="0.3"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31"/>
      <c r="Q45" s="7"/>
      <c r="R45" s="7"/>
      <c r="S45" s="7"/>
      <c r="T45" s="7"/>
      <c r="U45" s="7"/>
      <c r="V45" s="7"/>
      <c r="W45" s="7"/>
      <c r="X45" s="140"/>
      <c r="Y45" s="7"/>
      <c r="Z45" s="140"/>
      <c r="AA45" s="7"/>
      <c r="AB45" s="7"/>
      <c r="AC45" s="7"/>
      <c r="AD45" s="7"/>
      <c r="AE45" s="7"/>
      <c r="AF45" s="7"/>
      <c r="AG45" s="7"/>
      <c r="AH45" s="7"/>
      <c r="AI45" s="7"/>
      <c r="AJ45" s="47" t="s">
        <v>13</v>
      </c>
      <c r="AK45" s="7">
        <f>15*38</f>
        <v>570</v>
      </c>
      <c r="AL45" s="7"/>
      <c r="AM45" s="7"/>
      <c r="AN45" s="7"/>
    </row>
    <row r="46" spans="1:40" ht="14.4" x14ac:dyDescent="0.3"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31"/>
      <c r="Q46" s="7"/>
      <c r="R46" s="7"/>
      <c r="S46" s="7"/>
      <c r="T46" s="7"/>
      <c r="U46" s="7"/>
      <c r="V46" s="7"/>
      <c r="W46" s="7"/>
      <c r="X46" s="140"/>
      <c r="Y46" s="7"/>
      <c r="Z46" s="140"/>
      <c r="AA46" s="7"/>
      <c r="AB46" s="7"/>
      <c r="AC46" s="7"/>
      <c r="AD46" s="7"/>
      <c r="AE46" s="7"/>
      <c r="AF46" s="7"/>
      <c r="AG46" s="7"/>
      <c r="AH46" s="7"/>
      <c r="AI46" s="7"/>
      <c r="AJ46" s="47" t="s">
        <v>7</v>
      </c>
      <c r="AK46" s="7">
        <f>20*36</f>
        <v>720</v>
      </c>
      <c r="AL46" s="7"/>
      <c r="AM46" s="7"/>
      <c r="AN46" s="7"/>
    </row>
    <row r="47" spans="1:40" ht="14.4" x14ac:dyDescent="0.3">
      <c r="E47" s="7"/>
      <c r="F47" s="7"/>
      <c r="G47" s="7"/>
      <c r="H47" s="7"/>
      <c r="I47" s="7"/>
      <c r="J47" s="7"/>
      <c r="K47" s="7"/>
      <c r="L47" s="7"/>
      <c r="M47" s="7"/>
      <c r="O47" s="7"/>
      <c r="P47" s="31"/>
      <c r="Q47" s="7"/>
      <c r="R47" s="7"/>
      <c r="S47" s="7"/>
      <c r="T47" s="7"/>
      <c r="U47" s="7"/>
      <c r="V47" s="7"/>
      <c r="W47" s="7"/>
      <c r="X47" s="140"/>
      <c r="Y47" s="7"/>
      <c r="Z47" s="140"/>
      <c r="AA47" s="7"/>
      <c r="AB47" s="7"/>
      <c r="AC47" s="7"/>
      <c r="AD47" s="7"/>
      <c r="AE47" s="7"/>
      <c r="AF47" s="7"/>
      <c r="AG47" s="7"/>
      <c r="AH47" s="7"/>
      <c r="AI47" s="7"/>
      <c r="AJ47" s="47" t="s">
        <v>8</v>
      </c>
      <c r="AK47" s="7">
        <f>25*40</f>
        <v>1000</v>
      </c>
      <c r="AL47" s="7"/>
      <c r="AM47" s="7"/>
      <c r="AN47" s="7"/>
    </row>
    <row r="48" spans="1:40" ht="14.4" x14ac:dyDescent="0.3"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31"/>
      <c r="Q48" s="7"/>
      <c r="R48" s="7"/>
      <c r="S48" s="7"/>
      <c r="T48" s="7"/>
      <c r="U48" s="7"/>
      <c r="V48" s="7"/>
      <c r="W48" s="7"/>
      <c r="X48" s="140"/>
      <c r="Y48" s="7"/>
      <c r="Z48" s="140"/>
      <c r="AA48" s="7"/>
      <c r="AB48" s="7"/>
      <c r="AC48" s="7"/>
      <c r="AD48" s="7"/>
      <c r="AE48" s="7"/>
      <c r="AF48" s="7"/>
      <c r="AG48" s="7"/>
      <c r="AH48" s="7"/>
      <c r="AI48" s="7"/>
      <c r="AJ48" s="47" t="s">
        <v>9</v>
      </c>
      <c r="AK48" s="7">
        <f>30*42</f>
        <v>1260</v>
      </c>
      <c r="AL48" s="7"/>
      <c r="AM48" s="7"/>
      <c r="AN48" s="7"/>
    </row>
    <row r="49" spans="5:40" ht="14.4" x14ac:dyDescent="0.3"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31"/>
      <c r="Q49" s="7"/>
      <c r="R49" s="7"/>
      <c r="S49" s="7"/>
      <c r="T49" s="7"/>
      <c r="U49" s="7"/>
      <c r="V49" s="7"/>
      <c r="W49" s="7"/>
      <c r="X49" s="140"/>
      <c r="Y49" s="7"/>
      <c r="Z49" s="140"/>
      <c r="AA49" s="7"/>
      <c r="AB49" s="7"/>
      <c r="AC49" s="7"/>
      <c r="AD49" s="7"/>
      <c r="AE49" s="7"/>
      <c r="AF49" s="7"/>
      <c r="AG49" s="7"/>
      <c r="AH49" s="7"/>
      <c r="AI49" s="7"/>
      <c r="AJ49" s="47" t="s">
        <v>10</v>
      </c>
      <c r="AK49" s="7">
        <f>42*48</f>
        <v>2016</v>
      </c>
      <c r="AL49" s="7"/>
      <c r="AM49" s="7"/>
      <c r="AN49" s="7"/>
    </row>
    <row r="50" spans="5:40" ht="14.4" x14ac:dyDescent="0.3"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31"/>
      <c r="Q50" s="7"/>
      <c r="R50" s="7"/>
      <c r="S50" s="7"/>
      <c r="T50" s="7"/>
      <c r="U50" s="7"/>
      <c r="V50" s="7"/>
      <c r="W50" s="7"/>
      <c r="X50" s="140"/>
      <c r="Y50" s="7"/>
      <c r="Z50" s="140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</row>
    <row r="51" spans="5:40" ht="14.4" x14ac:dyDescent="0.3"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31"/>
      <c r="Q51" s="7"/>
      <c r="R51" s="7"/>
      <c r="S51" s="7"/>
      <c r="T51" s="7"/>
      <c r="U51" s="7"/>
      <c r="V51" s="7"/>
      <c r="W51" s="7"/>
      <c r="X51" s="140"/>
      <c r="Y51" s="7"/>
      <c r="Z51" s="140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</row>
    <row r="52" spans="5:40" ht="14.4" x14ac:dyDescent="0.3"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31"/>
      <c r="Q52" s="7"/>
      <c r="R52" s="7"/>
      <c r="S52" s="7"/>
      <c r="T52" s="7"/>
      <c r="U52" s="7"/>
      <c r="V52" s="7"/>
      <c r="W52" s="7"/>
      <c r="X52" s="140"/>
      <c r="Y52" s="7"/>
      <c r="Z52" s="140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</row>
    <row r="53" spans="5:40" ht="14.4" x14ac:dyDescent="0.3"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31"/>
      <c r="Q53" s="7"/>
      <c r="R53" s="7"/>
      <c r="S53" s="7"/>
      <c r="T53" s="7"/>
      <c r="U53" s="7"/>
      <c r="V53" s="7"/>
      <c r="W53" s="7"/>
      <c r="X53" s="140"/>
      <c r="Y53" s="7"/>
      <c r="Z53" s="140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</row>
    <row r="54" spans="5:40" ht="14.4" x14ac:dyDescent="0.3"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31"/>
      <c r="Q54" s="7"/>
      <c r="R54" s="7"/>
      <c r="S54" s="7"/>
      <c r="T54" s="7"/>
      <c r="U54" s="7"/>
      <c r="V54" s="7"/>
      <c r="W54" s="7"/>
      <c r="X54" s="140"/>
      <c r="Y54" s="7"/>
      <c r="Z54" s="140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</row>
    <row r="55" spans="5:40" ht="14.4" x14ac:dyDescent="0.3"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31"/>
      <c r="Q55" s="7"/>
      <c r="R55" s="7"/>
      <c r="S55" s="7"/>
      <c r="T55" s="7"/>
      <c r="U55" s="7"/>
      <c r="V55" s="7"/>
      <c r="W55" s="7"/>
      <c r="X55" s="140"/>
      <c r="Y55" s="7"/>
      <c r="Z55" s="140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</row>
    <row r="56" spans="5:40" ht="14.4" x14ac:dyDescent="0.3"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31"/>
      <c r="Q56" s="7"/>
      <c r="R56" s="7"/>
      <c r="S56" s="7"/>
      <c r="T56" s="7"/>
      <c r="U56" s="7"/>
      <c r="V56" s="7"/>
      <c r="W56" s="7"/>
      <c r="X56" s="140"/>
      <c r="Y56" s="7"/>
      <c r="Z56" s="140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</row>
    <row r="57" spans="5:40" ht="14.4" x14ac:dyDescent="0.3"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31"/>
      <c r="Q57" s="7"/>
      <c r="R57" s="7"/>
      <c r="S57" s="7"/>
      <c r="T57" s="7"/>
      <c r="U57" s="7"/>
      <c r="V57" s="7"/>
      <c r="W57" s="7"/>
      <c r="X57" s="140"/>
      <c r="Y57" s="7"/>
      <c r="Z57" s="140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</row>
    <row r="58" spans="5:40" ht="14.4" x14ac:dyDescent="0.3"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31"/>
      <c r="Q58" s="7"/>
      <c r="R58" s="7"/>
      <c r="S58" s="7"/>
      <c r="T58" s="7"/>
      <c r="U58" s="7"/>
      <c r="V58" s="7"/>
      <c r="W58" s="7"/>
      <c r="X58" s="140"/>
      <c r="Y58" s="7"/>
      <c r="Z58" s="140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</row>
    <row r="59" spans="5:40" ht="14.4" x14ac:dyDescent="0.3"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31"/>
      <c r="Q59" s="7"/>
      <c r="R59" s="7"/>
      <c r="S59" s="7"/>
      <c r="T59" s="7"/>
      <c r="U59" s="7"/>
      <c r="V59" s="7"/>
      <c r="W59" s="7"/>
      <c r="X59" s="140"/>
      <c r="Y59" s="7"/>
      <c r="Z59" s="140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</row>
    <row r="60" spans="5:40" ht="14.4" x14ac:dyDescent="0.3"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31"/>
      <c r="Q60" s="7"/>
      <c r="R60" s="7"/>
      <c r="S60" s="7"/>
      <c r="T60" s="7"/>
      <c r="U60" s="7"/>
      <c r="V60" s="7"/>
      <c r="W60" s="7"/>
      <c r="X60" s="140"/>
      <c r="Y60" s="7"/>
      <c r="Z60" s="140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5:40" ht="14.4" x14ac:dyDescent="0.3"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31"/>
      <c r="Q61" s="7"/>
      <c r="R61" s="7"/>
      <c r="S61" s="7"/>
      <c r="T61" s="7"/>
      <c r="U61" s="7"/>
      <c r="V61" s="7"/>
      <c r="W61" s="7"/>
      <c r="X61" s="140"/>
      <c r="Y61" s="7"/>
      <c r="Z61" s="140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</row>
    <row r="62" spans="5:40" ht="14.4" x14ac:dyDescent="0.3"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31"/>
      <c r="Q62" s="7"/>
      <c r="R62" s="7"/>
      <c r="S62" s="7"/>
      <c r="T62" s="7"/>
      <c r="U62" s="7"/>
      <c r="V62" s="7"/>
      <c r="W62" s="7"/>
      <c r="X62" s="140"/>
      <c r="Y62" s="7"/>
      <c r="Z62" s="140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</row>
    <row r="63" spans="5:40" ht="14.4" x14ac:dyDescent="0.3"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31"/>
      <c r="Q63" s="7"/>
      <c r="R63" s="7"/>
      <c r="S63" s="7"/>
      <c r="T63" s="7"/>
      <c r="U63" s="7"/>
      <c r="V63" s="7"/>
      <c r="W63" s="7"/>
      <c r="X63" s="140"/>
      <c r="Y63" s="7"/>
      <c r="Z63" s="140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</row>
    <row r="64" spans="5:40" ht="14.4" x14ac:dyDescent="0.3"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31"/>
      <c r="Q64" s="7"/>
      <c r="R64" s="7"/>
      <c r="S64" s="7"/>
      <c r="T64" s="7"/>
      <c r="U64" s="7"/>
      <c r="V64" s="7"/>
      <c r="W64" s="7"/>
      <c r="X64" s="140"/>
      <c r="Y64" s="7"/>
      <c r="Z64" s="140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</row>
    <row r="65" spans="5:40" ht="14.4" x14ac:dyDescent="0.3"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31"/>
      <c r="Q65" s="7"/>
      <c r="R65" s="7"/>
      <c r="S65" s="7"/>
      <c r="T65" s="7"/>
      <c r="U65" s="7"/>
      <c r="V65" s="7"/>
      <c r="W65" s="7"/>
      <c r="X65" s="140"/>
      <c r="Y65" s="7"/>
      <c r="Z65" s="140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</row>
    <row r="66" spans="5:40" ht="14.4" x14ac:dyDescent="0.3"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31"/>
      <c r="Q66" s="7"/>
      <c r="R66" s="7"/>
      <c r="S66" s="7"/>
      <c r="T66" s="7"/>
      <c r="U66" s="7"/>
      <c r="V66" s="7"/>
      <c r="W66" s="7"/>
      <c r="X66" s="140"/>
      <c r="Y66" s="7"/>
      <c r="Z66" s="140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</row>
    <row r="67" spans="5:40" ht="14.4" x14ac:dyDescent="0.3"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31"/>
      <c r="Q67" s="7"/>
      <c r="R67" s="7"/>
      <c r="S67" s="7"/>
      <c r="T67" s="7"/>
      <c r="U67" s="7"/>
      <c r="V67" s="7"/>
      <c r="W67" s="7"/>
      <c r="X67" s="140"/>
      <c r="Y67" s="7"/>
      <c r="Z67" s="140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</row>
    <row r="68" spans="5:40" ht="14.4" x14ac:dyDescent="0.3"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31"/>
      <c r="Q68" s="7"/>
      <c r="R68" s="7"/>
      <c r="S68" s="7"/>
      <c r="T68" s="7"/>
      <c r="U68" s="7"/>
      <c r="V68" s="7"/>
      <c r="W68" s="7"/>
      <c r="X68" s="140"/>
      <c r="Y68" s="7"/>
      <c r="Z68" s="140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</row>
    <row r="69" spans="5:40" ht="14.4" x14ac:dyDescent="0.3"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31"/>
      <c r="Q69" s="7"/>
      <c r="R69" s="7"/>
      <c r="S69" s="7"/>
      <c r="T69" s="7"/>
      <c r="U69" s="7"/>
      <c r="V69" s="7"/>
      <c r="W69" s="7"/>
      <c r="X69" s="140"/>
      <c r="Y69" s="7"/>
      <c r="Z69" s="140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</row>
    <row r="70" spans="5:40" ht="14.4" x14ac:dyDescent="0.3"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31"/>
      <c r="Q70" s="7"/>
      <c r="R70" s="7"/>
      <c r="S70" s="7"/>
      <c r="T70" s="7"/>
      <c r="U70" s="7"/>
      <c r="V70" s="7"/>
      <c r="W70" s="7"/>
      <c r="X70" s="140"/>
      <c r="Y70" s="7"/>
      <c r="Z70" s="140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</row>
    <row r="71" spans="5:40" ht="14.4" x14ac:dyDescent="0.3"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31"/>
      <c r="Q71" s="7"/>
      <c r="R71" s="7"/>
      <c r="S71" s="7"/>
      <c r="T71" s="7"/>
      <c r="U71" s="7"/>
      <c r="V71" s="7"/>
      <c r="W71" s="7"/>
      <c r="X71" s="140"/>
      <c r="Y71" s="7"/>
      <c r="Z71" s="140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</row>
    <row r="72" spans="5:40" ht="14.4" x14ac:dyDescent="0.3"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31"/>
      <c r="Q72" s="7"/>
      <c r="R72" s="7"/>
      <c r="S72" s="7"/>
      <c r="T72" s="7"/>
      <c r="U72" s="7"/>
      <c r="V72" s="7"/>
      <c r="W72" s="7"/>
      <c r="X72" s="140"/>
      <c r="Y72" s="7"/>
      <c r="Z72" s="140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</row>
    <row r="73" spans="5:40" ht="14.4" x14ac:dyDescent="0.3"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31"/>
      <c r="Q73" s="7"/>
      <c r="R73" s="7"/>
      <c r="S73" s="7"/>
      <c r="T73" s="7"/>
      <c r="U73" s="7"/>
      <c r="V73" s="7"/>
      <c r="W73" s="7"/>
      <c r="X73" s="140"/>
      <c r="Y73" s="7"/>
      <c r="Z73" s="140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</row>
    <row r="74" spans="5:40" ht="14.4" x14ac:dyDescent="0.3"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31"/>
      <c r="Q74" s="7"/>
      <c r="R74" s="7"/>
      <c r="S74" s="7"/>
      <c r="T74" s="7"/>
      <c r="U74" s="7"/>
      <c r="V74" s="7"/>
      <c r="W74" s="7"/>
      <c r="X74" s="140"/>
      <c r="Y74" s="7"/>
      <c r="Z74" s="140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</row>
    <row r="75" spans="5:40" ht="14.4" x14ac:dyDescent="0.3"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31"/>
      <c r="Q75" s="7"/>
      <c r="R75" s="7"/>
      <c r="S75" s="7"/>
      <c r="T75" s="7"/>
      <c r="U75" s="7"/>
      <c r="V75" s="7"/>
      <c r="W75" s="7"/>
      <c r="X75" s="140"/>
      <c r="Y75" s="7"/>
      <c r="Z75" s="140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</row>
    <row r="76" spans="5:40" ht="14.4" x14ac:dyDescent="0.3"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31"/>
      <c r="Q76" s="7"/>
      <c r="R76" s="7"/>
      <c r="S76" s="7"/>
      <c r="T76" s="7"/>
      <c r="U76" s="7"/>
      <c r="V76" s="7"/>
      <c r="W76" s="7"/>
      <c r="X76" s="140"/>
      <c r="Y76" s="7"/>
      <c r="Z76" s="140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</row>
    <row r="77" spans="5:40" ht="14.4" x14ac:dyDescent="0.3"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31"/>
      <c r="Q77" s="7"/>
      <c r="R77" s="7"/>
      <c r="S77" s="7"/>
      <c r="T77" s="7"/>
      <c r="U77" s="7"/>
      <c r="V77" s="7"/>
      <c r="W77" s="7"/>
      <c r="X77" s="140"/>
      <c r="Y77" s="7"/>
      <c r="Z77" s="140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</row>
    <row r="78" spans="5:40" ht="14.4" x14ac:dyDescent="0.3"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31"/>
      <c r="Q78" s="7"/>
      <c r="R78" s="7"/>
      <c r="S78" s="7"/>
      <c r="T78" s="7"/>
      <c r="U78" s="7"/>
      <c r="V78" s="7"/>
      <c r="W78" s="7"/>
      <c r="X78" s="140"/>
      <c r="Y78" s="7"/>
      <c r="Z78" s="140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</row>
    <row r="79" spans="5:40" ht="14.4" x14ac:dyDescent="0.3"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31"/>
      <c r="Q79" s="7"/>
      <c r="R79" s="7"/>
      <c r="S79" s="7"/>
      <c r="T79" s="7"/>
      <c r="U79" s="7"/>
      <c r="V79" s="7"/>
      <c r="W79" s="7"/>
      <c r="X79" s="140"/>
      <c r="Y79" s="7"/>
      <c r="Z79" s="140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</row>
    <row r="80" spans="5:40" ht="14.4" x14ac:dyDescent="0.3"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31"/>
      <c r="Q80" s="7"/>
      <c r="R80" s="7"/>
      <c r="S80" s="7"/>
      <c r="T80" s="7"/>
      <c r="U80" s="7"/>
      <c r="V80" s="7"/>
      <c r="W80" s="7"/>
      <c r="X80" s="140"/>
      <c r="Y80" s="7"/>
      <c r="Z80" s="140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</row>
    <row r="81" spans="5:40" ht="14.4" x14ac:dyDescent="0.3"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31"/>
      <c r="Q81" s="7"/>
      <c r="R81" s="7"/>
      <c r="S81" s="7"/>
      <c r="T81" s="7"/>
      <c r="U81" s="7"/>
      <c r="V81" s="7"/>
      <c r="W81" s="7"/>
      <c r="X81" s="140"/>
      <c r="Y81" s="7"/>
      <c r="Z81" s="140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</row>
    <row r="82" spans="5:40" ht="14.4" x14ac:dyDescent="0.3"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31"/>
      <c r="Q82" s="7"/>
      <c r="R82" s="7"/>
      <c r="S82" s="7"/>
      <c r="T82" s="7"/>
      <c r="U82" s="7"/>
      <c r="V82" s="7"/>
      <c r="W82" s="7"/>
      <c r="X82" s="140"/>
      <c r="Y82" s="7"/>
      <c r="Z82" s="140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</row>
    <row r="83" spans="5:40" ht="14.4" x14ac:dyDescent="0.3"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31"/>
      <c r="Q83" s="7"/>
      <c r="R83" s="7"/>
      <c r="S83" s="7"/>
      <c r="T83" s="7"/>
      <c r="U83" s="7"/>
      <c r="V83" s="7"/>
      <c r="W83" s="7"/>
      <c r="X83" s="140"/>
      <c r="Y83" s="7"/>
      <c r="Z83" s="140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</row>
    <row r="84" spans="5:40" ht="14.4" x14ac:dyDescent="0.3"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31"/>
      <c r="Q84" s="7"/>
      <c r="R84" s="7"/>
      <c r="S84" s="7"/>
      <c r="T84" s="7"/>
      <c r="U84" s="7"/>
      <c r="V84" s="7"/>
      <c r="W84" s="7"/>
      <c r="X84" s="140"/>
      <c r="Y84" s="7"/>
      <c r="Z84" s="140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</row>
    <row r="85" spans="5:40" ht="14.4" x14ac:dyDescent="0.3"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31"/>
      <c r="Q85" s="7"/>
      <c r="R85" s="7"/>
      <c r="S85" s="7"/>
      <c r="T85" s="7"/>
      <c r="U85" s="7"/>
      <c r="V85" s="7"/>
      <c r="W85" s="7"/>
      <c r="X85" s="140"/>
      <c r="Y85" s="7"/>
      <c r="Z85" s="140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</row>
    <row r="86" spans="5:40" ht="14.4" x14ac:dyDescent="0.3"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31"/>
      <c r="Q86" s="7"/>
      <c r="R86" s="7"/>
      <c r="S86" s="7"/>
      <c r="T86" s="7"/>
      <c r="U86" s="7"/>
      <c r="V86" s="7"/>
      <c r="W86" s="7"/>
      <c r="X86" s="140"/>
      <c r="Y86" s="7"/>
      <c r="Z86" s="140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</row>
    <row r="87" spans="5:40" ht="14.4" x14ac:dyDescent="0.3"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31"/>
      <c r="Q87" s="7"/>
      <c r="R87" s="7"/>
      <c r="S87" s="7"/>
      <c r="T87" s="7"/>
      <c r="U87" s="7"/>
      <c r="V87" s="7"/>
      <c r="W87" s="7"/>
      <c r="X87" s="140"/>
      <c r="Y87" s="7"/>
      <c r="Z87" s="140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</row>
    <row r="88" spans="5:40" ht="14.4" x14ac:dyDescent="0.3"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31"/>
      <c r="Q88" s="7"/>
      <c r="R88" s="7"/>
      <c r="S88" s="7"/>
      <c r="T88" s="7"/>
      <c r="U88" s="7"/>
      <c r="V88" s="7"/>
      <c r="W88" s="7"/>
      <c r="X88" s="140"/>
      <c r="Y88" s="7"/>
      <c r="Z88" s="140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</row>
    <row r="89" spans="5:40" ht="14.4" x14ac:dyDescent="0.3"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31"/>
      <c r="Q89" s="7"/>
      <c r="R89" s="7"/>
      <c r="S89" s="7"/>
      <c r="T89" s="7"/>
      <c r="U89" s="7"/>
      <c r="V89" s="7"/>
      <c r="W89" s="7"/>
      <c r="X89" s="140"/>
      <c r="Y89" s="7"/>
      <c r="Z89" s="140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</row>
    <row r="90" spans="5:40" ht="14.4" x14ac:dyDescent="0.3"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31"/>
      <c r="Q90" s="7"/>
      <c r="R90" s="7"/>
      <c r="S90" s="7"/>
      <c r="T90" s="7"/>
      <c r="U90" s="7"/>
      <c r="V90" s="7"/>
      <c r="W90" s="7"/>
      <c r="X90" s="140"/>
      <c r="Y90" s="7"/>
      <c r="Z90" s="140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</row>
    <row r="91" spans="5:40" ht="14.4" x14ac:dyDescent="0.3"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31"/>
      <c r="Q91" s="7"/>
      <c r="R91" s="7"/>
      <c r="S91" s="7"/>
      <c r="T91" s="7"/>
      <c r="U91" s="7"/>
      <c r="V91" s="7"/>
      <c r="W91" s="7"/>
      <c r="X91" s="140"/>
      <c r="Y91" s="7"/>
      <c r="Z91" s="140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</row>
    <row r="92" spans="5:40" ht="14.4" x14ac:dyDescent="0.3"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31"/>
      <c r="Q92" s="7"/>
      <c r="R92" s="7"/>
      <c r="S92" s="7"/>
      <c r="T92" s="7"/>
      <c r="U92" s="7"/>
      <c r="V92" s="7"/>
      <c r="W92" s="7"/>
      <c r="X92" s="140"/>
      <c r="Y92" s="7"/>
      <c r="Z92" s="140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</row>
    <row r="93" spans="5:40" ht="14.4" x14ac:dyDescent="0.3"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31"/>
      <c r="Q93" s="7"/>
      <c r="R93" s="7"/>
      <c r="S93" s="7"/>
      <c r="T93" s="7"/>
      <c r="U93" s="7"/>
      <c r="V93" s="7"/>
      <c r="W93" s="7"/>
      <c r="X93" s="140"/>
      <c r="Y93" s="7"/>
      <c r="Z93" s="140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</row>
    <row r="94" spans="5:40" ht="14.4" x14ac:dyDescent="0.3"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31"/>
      <c r="Q94" s="7"/>
      <c r="R94" s="7"/>
      <c r="S94" s="7"/>
      <c r="T94" s="7"/>
      <c r="U94" s="7"/>
      <c r="V94" s="7"/>
      <c r="W94" s="7"/>
      <c r="X94" s="140"/>
      <c r="Y94" s="7"/>
      <c r="Z94" s="140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</row>
    <row r="95" spans="5:40" ht="14.4" x14ac:dyDescent="0.3"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31"/>
      <c r="Q95" s="7"/>
      <c r="R95" s="7"/>
      <c r="S95" s="7"/>
      <c r="T95" s="7"/>
      <c r="U95" s="7"/>
      <c r="V95" s="7"/>
      <c r="W95" s="7"/>
      <c r="X95" s="140"/>
      <c r="Y95" s="7"/>
      <c r="Z95" s="140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</row>
    <row r="96" spans="5:40" ht="14.4" x14ac:dyDescent="0.3"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31"/>
      <c r="Q96" s="7"/>
      <c r="R96" s="7"/>
      <c r="S96" s="7"/>
      <c r="T96" s="7"/>
      <c r="U96" s="7"/>
      <c r="V96" s="7"/>
      <c r="W96" s="7"/>
      <c r="X96" s="140"/>
      <c r="Y96" s="7"/>
      <c r="Z96" s="140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</row>
    <row r="97" spans="5:40" ht="14.4" x14ac:dyDescent="0.3"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31"/>
      <c r="Q97" s="7"/>
      <c r="R97" s="7"/>
      <c r="S97" s="7"/>
      <c r="T97" s="7"/>
      <c r="U97" s="7"/>
      <c r="V97" s="7"/>
      <c r="W97" s="7"/>
      <c r="X97" s="140"/>
      <c r="Y97" s="7"/>
      <c r="Z97" s="140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</row>
    <row r="98" spans="5:40" ht="14.4" x14ac:dyDescent="0.3"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31"/>
      <c r="Q98" s="7"/>
      <c r="R98" s="7"/>
      <c r="S98" s="7"/>
      <c r="T98" s="7"/>
      <c r="U98" s="7"/>
      <c r="V98" s="7"/>
      <c r="W98" s="7"/>
      <c r="X98" s="140"/>
      <c r="Y98" s="7"/>
      <c r="Z98" s="140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</row>
    <row r="99" spans="5:40" ht="14.4" x14ac:dyDescent="0.3"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31"/>
      <c r="Q99" s="7"/>
      <c r="R99" s="7"/>
      <c r="S99" s="7"/>
      <c r="T99" s="7"/>
      <c r="U99" s="7"/>
      <c r="V99" s="7"/>
      <c r="W99" s="7"/>
      <c r="X99" s="140"/>
      <c r="Y99" s="7"/>
      <c r="Z99" s="140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</row>
    <row r="100" spans="5:40" ht="14.4" x14ac:dyDescent="0.3"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31"/>
      <c r="Q100" s="7"/>
      <c r="R100" s="7"/>
      <c r="S100" s="7"/>
      <c r="T100" s="7"/>
      <c r="U100" s="7"/>
      <c r="V100" s="7"/>
      <c r="W100" s="7"/>
      <c r="X100" s="140"/>
      <c r="Y100" s="7"/>
      <c r="Z100" s="140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</row>
    <row r="101" spans="5:40" ht="14.4" x14ac:dyDescent="0.3"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31"/>
      <c r="Q101" s="7"/>
      <c r="R101" s="7"/>
      <c r="S101" s="7"/>
      <c r="T101" s="7"/>
      <c r="U101" s="7"/>
      <c r="V101" s="7"/>
      <c r="W101" s="7"/>
      <c r="X101" s="140"/>
      <c r="Y101" s="7"/>
      <c r="Z101" s="140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</row>
    <row r="102" spans="5:40" ht="14.4" x14ac:dyDescent="0.3"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31"/>
      <c r="Q102" s="7"/>
      <c r="R102" s="7"/>
      <c r="S102" s="7"/>
      <c r="T102" s="7"/>
      <c r="U102" s="7"/>
      <c r="V102" s="7"/>
      <c r="W102" s="7"/>
      <c r="X102" s="140"/>
      <c r="Y102" s="7"/>
      <c r="Z102" s="140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</row>
    <row r="103" spans="5:40" ht="14.4" x14ac:dyDescent="0.3"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31"/>
      <c r="Q103" s="7"/>
      <c r="R103" s="7"/>
      <c r="S103" s="7"/>
      <c r="T103" s="7"/>
      <c r="U103" s="7"/>
      <c r="V103" s="7"/>
      <c r="W103" s="7"/>
      <c r="X103" s="140"/>
      <c r="Y103" s="7"/>
      <c r="Z103" s="140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</row>
    <row r="104" spans="5:40" ht="14.4" x14ac:dyDescent="0.3"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31"/>
      <c r="Q104" s="7"/>
      <c r="R104" s="7"/>
      <c r="S104" s="7"/>
      <c r="T104" s="7"/>
      <c r="U104" s="7"/>
      <c r="V104" s="7"/>
      <c r="W104" s="7"/>
      <c r="X104" s="140"/>
      <c r="Y104" s="7"/>
      <c r="Z104" s="140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</row>
    <row r="105" spans="5:40" ht="14.4" x14ac:dyDescent="0.3"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31"/>
      <c r="Q105" s="7"/>
      <c r="R105" s="7"/>
      <c r="S105" s="7"/>
      <c r="T105" s="7"/>
      <c r="U105" s="7"/>
      <c r="V105" s="7"/>
      <c r="W105" s="7"/>
      <c r="X105" s="140"/>
      <c r="Y105" s="7"/>
      <c r="Z105" s="140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</row>
    <row r="106" spans="5:40" ht="14.4" x14ac:dyDescent="0.3"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31"/>
      <c r="Q106" s="7"/>
      <c r="R106" s="7"/>
      <c r="S106" s="7"/>
      <c r="T106" s="7"/>
      <c r="U106" s="7"/>
      <c r="V106" s="7"/>
      <c r="W106" s="7"/>
      <c r="X106" s="140"/>
      <c r="Y106" s="7"/>
      <c r="Z106" s="140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</row>
    <row r="107" spans="5:40" ht="14.4" x14ac:dyDescent="0.3"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31"/>
      <c r="Q107" s="7"/>
      <c r="R107" s="7"/>
      <c r="S107" s="7"/>
      <c r="T107" s="7"/>
      <c r="U107" s="7"/>
      <c r="V107" s="7"/>
      <c r="W107" s="7"/>
      <c r="X107" s="140"/>
      <c r="Y107" s="7"/>
      <c r="Z107" s="140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</row>
    <row r="108" spans="5:40" ht="14.4" x14ac:dyDescent="0.3"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31"/>
      <c r="Q108" s="7"/>
      <c r="R108" s="7"/>
      <c r="S108" s="7"/>
      <c r="T108" s="7"/>
      <c r="U108" s="7"/>
      <c r="V108" s="7"/>
      <c r="W108" s="7"/>
      <c r="X108" s="140"/>
      <c r="Y108" s="7"/>
      <c r="Z108" s="140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</row>
    <row r="109" spans="5:40" ht="14.4" x14ac:dyDescent="0.3"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31"/>
      <c r="Q109" s="7"/>
      <c r="R109" s="7"/>
      <c r="S109" s="7"/>
      <c r="T109" s="7"/>
      <c r="U109" s="7"/>
      <c r="V109" s="7"/>
      <c r="W109" s="7"/>
      <c r="X109" s="140"/>
      <c r="Y109" s="7"/>
      <c r="Z109" s="140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</row>
    <row r="110" spans="5:40" ht="14.4" x14ac:dyDescent="0.3"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31"/>
      <c r="Q110" s="7"/>
      <c r="R110" s="7"/>
      <c r="S110" s="7"/>
      <c r="T110" s="7"/>
      <c r="U110" s="7"/>
      <c r="V110" s="7"/>
      <c r="W110" s="7"/>
      <c r="X110" s="140"/>
      <c r="Y110" s="7"/>
      <c r="Z110" s="140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5:40" ht="14.4" x14ac:dyDescent="0.3"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31"/>
      <c r="Q111" s="7"/>
      <c r="R111" s="7"/>
      <c r="S111" s="7"/>
      <c r="T111" s="7"/>
      <c r="U111" s="7"/>
      <c r="V111" s="7"/>
      <c r="W111" s="7"/>
      <c r="X111" s="140"/>
      <c r="Y111" s="7"/>
      <c r="Z111" s="140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</row>
    <row r="112" spans="5:40" ht="14.4" x14ac:dyDescent="0.3"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31"/>
      <c r="Q112" s="7"/>
      <c r="R112" s="7"/>
      <c r="S112" s="7"/>
      <c r="T112" s="7"/>
      <c r="U112" s="7"/>
      <c r="V112" s="7"/>
      <c r="W112" s="7"/>
      <c r="X112" s="140"/>
      <c r="Y112" s="7"/>
      <c r="Z112" s="140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</row>
    <row r="113" spans="5:40" ht="14.4" x14ac:dyDescent="0.3"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31"/>
      <c r="Q113" s="7"/>
      <c r="R113" s="7"/>
      <c r="S113" s="7"/>
      <c r="T113" s="7"/>
      <c r="U113" s="7"/>
      <c r="V113" s="7"/>
      <c r="W113" s="7"/>
      <c r="X113" s="140"/>
      <c r="Y113" s="7"/>
      <c r="Z113" s="140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</row>
    <row r="114" spans="5:40" ht="14.4" x14ac:dyDescent="0.3"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31"/>
      <c r="Q114" s="7"/>
      <c r="R114" s="7"/>
      <c r="S114" s="7"/>
      <c r="T114" s="7"/>
      <c r="U114" s="7"/>
      <c r="V114" s="7"/>
      <c r="W114" s="7"/>
      <c r="X114" s="140"/>
      <c r="Y114" s="7"/>
      <c r="Z114" s="140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</row>
    <row r="115" spans="5:40" ht="14.4" x14ac:dyDescent="0.3"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31"/>
      <c r="Q115" s="7"/>
      <c r="R115" s="7"/>
      <c r="S115" s="7"/>
      <c r="T115" s="7"/>
      <c r="U115" s="7"/>
      <c r="V115" s="7"/>
      <c r="W115" s="7"/>
      <c r="X115" s="140"/>
      <c r="Y115" s="7"/>
      <c r="Z115" s="140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</row>
    <row r="116" spans="5:40" ht="14.4" x14ac:dyDescent="0.3"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31"/>
      <c r="Q116" s="7"/>
      <c r="R116" s="7"/>
      <c r="S116" s="7"/>
      <c r="T116" s="7"/>
      <c r="U116" s="7"/>
      <c r="V116" s="7"/>
      <c r="W116" s="7"/>
      <c r="X116" s="140"/>
      <c r="Y116" s="7"/>
      <c r="Z116" s="140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</row>
    <row r="117" spans="5:40" ht="14.4" x14ac:dyDescent="0.3"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31"/>
      <c r="Q117" s="7"/>
      <c r="R117" s="7"/>
      <c r="S117" s="7"/>
      <c r="T117" s="7"/>
      <c r="U117" s="7"/>
      <c r="V117" s="7"/>
      <c r="W117" s="7"/>
      <c r="X117" s="140"/>
      <c r="Y117" s="7"/>
      <c r="Z117" s="140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</row>
    <row r="118" spans="5:40" ht="14.4" x14ac:dyDescent="0.3"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31"/>
      <c r="Q118" s="7"/>
      <c r="R118" s="7"/>
      <c r="S118" s="7"/>
      <c r="T118" s="7"/>
      <c r="U118" s="7"/>
      <c r="V118" s="7"/>
      <c r="W118" s="7"/>
      <c r="X118" s="140"/>
      <c r="Y118" s="7"/>
      <c r="Z118" s="140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</row>
    <row r="119" spans="5:40" ht="14.4" x14ac:dyDescent="0.3"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31"/>
      <c r="Q119" s="7"/>
      <c r="R119" s="7"/>
      <c r="S119" s="7"/>
      <c r="T119" s="7"/>
      <c r="U119" s="7"/>
      <c r="V119" s="7"/>
      <c r="W119" s="7"/>
      <c r="X119" s="140"/>
      <c r="Y119" s="7"/>
      <c r="Z119" s="140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</row>
    <row r="120" spans="5:40" ht="14.4" x14ac:dyDescent="0.3"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31"/>
      <c r="Q120" s="7"/>
      <c r="R120" s="7"/>
      <c r="S120" s="7"/>
      <c r="T120" s="7"/>
      <c r="U120" s="7"/>
      <c r="V120" s="7"/>
      <c r="W120" s="7"/>
      <c r="X120" s="140"/>
      <c r="Y120" s="7"/>
      <c r="Z120" s="140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</row>
    <row r="121" spans="5:40" ht="14.4" x14ac:dyDescent="0.3"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31"/>
      <c r="Q121" s="7"/>
      <c r="R121" s="7"/>
      <c r="S121" s="7"/>
      <c r="T121" s="7"/>
      <c r="U121" s="7"/>
      <c r="V121" s="7"/>
      <c r="W121" s="7"/>
      <c r="X121" s="140"/>
      <c r="Y121" s="7"/>
      <c r="Z121" s="140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</row>
    <row r="122" spans="5:40" ht="14.4" x14ac:dyDescent="0.3"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31"/>
      <c r="Q122" s="7"/>
      <c r="R122" s="7"/>
      <c r="S122" s="7"/>
      <c r="T122" s="7"/>
      <c r="U122" s="7"/>
      <c r="V122" s="7"/>
      <c r="W122" s="7"/>
      <c r="X122" s="140"/>
      <c r="Y122" s="7"/>
      <c r="Z122" s="140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</row>
    <row r="123" spans="5:40" ht="14.4" x14ac:dyDescent="0.3"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31"/>
      <c r="Q123" s="7"/>
      <c r="R123" s="7"/>
      <c r="S123" s="7"/>
      <c r="T123" s="7"/>
      <c r="U123" s="7"/>
      <c r="V123" s="7"/>
      <c r="W123" s="7"/>
      <c r="X123" s="140"/>
      <c r="Y123" s="7"/>
      <c r="Z123" s="140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</row>
    <row r="124" spans="5:40" ht="14.4" x14ac:dyDescent="0.3"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31"/>
      <c r="Q124" s="7"/>
      <c r="R124" s="7"/>
      <c r="S124" s="7"/>
      <c r="T124" s="7"/>
      <c r="U124" s="7"/>
      <c r="V124" s="7"/>
      <c r="W124" s="7"/>
      <c r="X124" s="140"/>
      <c r="Y124" s="7"/>
      <c r="Z124" s="140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</row>
    <row r="125" spans="5:40" ht="14.4" x14ac:dyDescent="0.3"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31"/>
      <c r="Q125" s="7"/>
      <c r="R125" s="7"/>
      <c r="S125" s="7"/>
      <c r="T125" s="7"/>
      <c r="U125" s="7"/>
      <c r="V125" s="7"/>
      <c r="W125" s="7"/>
      <c r="X125" s="140"/>
      <c r="Y125" s="7"/>
      <c r="Z125" s="140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</row>
    <row r="126" spans="5:40" ht="14.4" x14ac:dyDescent="0.3"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31"/>
      <c r="Q126" s="7"/>
      <c r="R126" s="7"/>
      <c r="S126" s="7"/>
      <c r="T126" s="7"/>
      <c r="U126" s="7"/>
      <c r="V126" s="7"/>
      <c r="W126" s="7"/>
      <c r="X126" s="140"/>
      <c r="Y126" s="7"/>
      <c r="Z126" s="140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</row>
    <row r="127" spans="5:40" ht="14.4" x14ac:dyDescent="0.3"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31"/>
      <c r="Q127" s="7"/>
      <c r="R127" s="7"/>
      <c r="S127" s="7"/>
      <c r="T127" s="7"/>
      <c r="U127" s="7"/>
      <c r="V127" s="7"/>
      <c r="W127" s="7"/>
      <c r="X127" s="140"/>
      <c r="Y127" s="7"/>
      <c r="Z127" s="140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</row>
    <row r="128" spans="5:40" ht="14.4" x14ac:dyDescent="0.3"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31"/>
      <c r="Q128" s="7"/>
      <c r="R128" s="7"/>
      <c r="S128" s="7"/>
      <c r="T128" s="7"/>
      <c r="U128" s="7"/>
      <c r="V128" s="7"/>
      <c r="W128" s="7"/>
      <c r="X128" s="140"/>
      <c r="Y128" s="7"/>
      <c r="Z128" s="140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</row>
    <row r="129" spans="5:40" ht="14.4" x14ac:dyDescent="0.3"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31"/>
      <c r="Q129" s="7"/>
      <c r="R129" s="7"/>
      <c r="S129" s="7"/>
      <c r="T129" s="7"/>
      <c r="U129" s="7"/>
      <c r="V129" s="7"/>
      <c r="W129" s="7"/>
      <c r="X129" s="140"/>
      <c r="Y129" s="7"/>
      <c r="Z129" s="140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</row>
    <row r="130" spans="5:40" ht="14.4" x14ac:dyDescent="0.3"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31"/>
      <c r="Q130" s="7"/>
      <c r="R130" s="7"/>
      <c r="S130" s="7"/>
      <c r="T130" s="7"/>
      <c r="U130" s="7"/>
      <c r="V130" s="7"/>
      <c r="W130" s="7"/>
      <c r="X130" s="140"/>
      <c r="Y130" s="7"/>
      <c r="Z130" s="140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</row>
    <row r="131" spans="5:40" ht="14.4" x14ac:dyDescent="0.3"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31"/>
      <c r="Q131" s="7"/>
      <c r="R131" s="7"/>
      <c r="S131" s="7"/>
      <c r="T131" s="7"/>
      <c r="U131" s="7"/>
      <c r="V131" s="7"/>
      <c r="W131" s="7"/>
      <c r="X131" s="140"/>
      <c r="Y131" s="7"/>
      <c r="Z131" s="140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</row>
    <row r="132" spans="5:40" ht="14.4" x14ac:dyDescent="0.3"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31"/>
      <c r="Q132" s="7"/>
      <c r="R132" s="7"/>
      <c r="S132" s="7"/>
      <c r="T132" s="7"/>
      <c r="U132" s="7"/>
      <c r="V132" s="7"/>
      <c r="W132" s="7"/>
      <c r="X132" s="140"/>
      <c r="Y132" s="7"/>
      <c r="Z132" s="140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</row>
    <row r="133" spans="5:40" ht="14.4" x14ac:dyDescent="0.3"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31"/>
      <c r="Q133" s="7"/>
      <c r="R133" s="7"/>
      <c r="S133" s="7"/>
      <c r="T133" s="7"/>
      <c r="U133" s="7"/>
      <c r="V133" s="7"/>
      <c r="W133" s="7"/>
      <c r="X133" s="140"/>
      <c r="Y133" s="7"/>
      <c r="Z133" s="140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</row>
    <row r="134" spans="5:40" ht="14.4" x14ac:dyDescent="0.3"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31"/>
      <c r="Q134" s="7"/>
      <c r="R134" s="7"/>
      <c r="S134" s="7"/>
      <c r="T134" s="7"/>
      <c r="U134" s="7"/>
      <c r="V134" s="7"/>
      <c r="W134" s="7"/>
      <c r="X134" s="140"/>
      <c r="Y134" s="7"/>
      <c r="Z134" s="140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</row>
    <row r="135" spans="5:40" ht="14.4" x14ac:dyDescent="0.3"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31"/>
      <c r="Q135" s="7"/>
      <c r="R135" s="7"/>
      <c r="S135" s="7"/>
      <c r="T135" s="7"/>
      <c r="U135" s="7"/>
      <c r="V135" s="7"/>
      <c r="W135" s="7"/>
      <c r="X135" s="140"/>
      <c r="Y135" s="7"/>
      <c r="Z135" s="140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</row>
    <row r="136" spans="5:40" ht="14.4" x14ac:dyDescent="0.3"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31"/>
      <c r="Q136" s="7"/>
      <c r="R136" s="7"/>
      <c r="S136" s="7"/>
      <c r="T136" s="7"/>
      <c r="U136" s="7"/>
      <c r="V136" s="7"/>
      <c r="W136" s="7"/>
      <c r="X136" s="140"/>
      <c r="Y136" s="7"/>
      <c r="Z136" s="140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</row>
    <row r="137" spans="5:40" ht="14.4" x14ac:dyDescent="0.3"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31"/>
      <c r="Q137" s="7"/>
      <c r="R137" s="7"/>
      <c r="S137" s="7"/>
      <c r="T137" s="7"/>
      <c r="U137" s="7"/>
      <c r="V137" s="7"/>
      <c r="W137" s="7"/>
      <c r="X137" s="140"/>
      <c r="Y137" s="7"/>
      <c r="Z137" s="140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</row>
    <row r="138" spans="5:40" ht="14.4" x14ac:dyDescent="0.3"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31"/>
      <c r="Q138" s="7"/>
      <c r="R138" s="7"/>
      <c r="S138" s="7"/>
      <c r="T138" s="7"/>
      <c r="U138" s="7"/>
      <c r="V138" s="7"/>
      <c r="W138" s="7"/>
      <c r="X138" s="140"/>
      <c r="Y138" s="7"/>
      <c r="Z138" s="140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</row>
    <row r="139" spans="5:40" ht="14.4" x14ac:dyDescent="0.3"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31"/>
      <c r="Q139" s="7"/>
      <c r="R139" s="7"/>
      <c r="S139" s="7"/>
      <c r="T139" s="7"/>
      <c r="U139" s="7"/>
      <c r="V139" s="7"/>
      <c r="W139" s="7"/>
      <c r="X139" s="140"/>
      <c r="Y139" s="7"/>
      <c r="Z139" s="140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</row>
    <row r="140" spans="5:40" ht="14.4" x14ac:dyDescent="0.3"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31"/>
      <c r="Q140" s="7"/>
      <c r="R140" s="7"/>
      <c r="S140" s="7"/>
      <c r="T140" s="7"/>
      <c r="U140" s="7"/>
      <c r="V140" s="7"/>
      <c r="W140" s="7"/>
      <c r="X140" s="140"/>
      <c r="Y140" s="7"/>
      <c r="Z140" s="140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</row>
    <row r="141" spans="5:40" ht="14.4" x14ac:dyDescent="0.3"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31"/>
      <c r="Q141" s="7"/>
      <c r="R141" s="7"/>
      <c r="S141" s="7"/>
      <c r="T141" s="7"/>
      <c r="U141" s="7"/>
      <c r="V141" s="7"/>
      <c r="W141" s="7"/>
      <c r="X141" s="140"/>
      <c r="Y141" s="7"/>
      <c r="Z141" s="140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</row>
    <row r="142" spans="5:40" ht="14.4" x14ac:dyDescent="0.3"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31"/>
      <c r="Q142" s="7"/>
      <c r="R142" s="7"/>
      <c r="S142" s="7"/>
      <c r="T142" s="7"/>
      <c r="U142" s="7"/>
      <c r="V142" s="7"/>
      <c r="W142" s="7"/>
      <c r="X142" s="140"/>
      <c r="Y142" s="7"/>
      <c r="Z142" s="140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</row>
    <row r="143" spans="5:40" ht="14.4" x14ac:dyDescent="0.3"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31"/>
      <c r="Q143" s="7"/>
      <c r="R143" s="7"/>
      <c r="S143" s="7"/>
      <c r="T143" s="7"/>
      <c r="U143" s="7"/>
      <c r="V143" s="7"/>
      <c r="W143" s="7"/>
      <c r="X143" s="140"/>
      <c r="Y143" s="7"/>
      <c r="Z143" s="140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</row>
    <row r="144" spans="5:40" ht="14.4" x14ac:dyDescent="0.3"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31"/>
      <c r="Q144" s="7"/>
      <c r="R144" s="7"/>
      <c r="S144" s="7"/>
      <c r="T144" s="7"/>
      <c r="U144" s="7"/>
      <c r="V144" s="7"/>
      <c r="W144" s="7"/>
      <c r="X144" s="140"/>
      <c r="Y144" s="7"/>
      <c r="Z144" s="140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</row>
    <row r="145" spans="5:40" ht="14.4" x14ac:dyDescent="0.3"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31"/>
      <c r="Q145" s="7"/>
      <c r="R145" s="7"/>
      <c r="S145" s="7"/>
      <c r="T145" s="7"/>
      <c r="U145" s="7"/>
      <c r="V145" s="7"/>
      <c r="W145" s="7"/>
      <c r="X145" s="140"/>
      <c r="Y145" s="7"/>
      <c r="Z145" s="140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</row>
    <row r="146" spans="5:40" ht="14.4" x14ac:dyDescent="0.3"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31"/>
      <c r="Q146" s="7"/>
      <c r="R146" s="7"/>
      <c r="S146" s="7"/>
      <c r="T146" s="7"/>
      <c r="U146" s="7"/>
      <c r="V146" s="7"/>
      <c r="W146" s="7"/>
      <c r="X146" s="140"/>
      <c r="Y146" s="7"/>
      <c r="Z146" s="140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</row>
    <row r="147" spans="5:40" ht="14.4" x14ac:dyDescent="0.3"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31"/>
      <c r="Q147" s="7"/>
      <c r="R147" s="7"/>
      <c r="S147" s="7"/>
      <c r="T147" s="7"/>
      <c r="U147" s="7"/>
      <c r="V147" s="7"/>
      <c r="W147" s="7"/>
      <c r="X147" s="140"/>
      <c r="Y147" s="7"/>
      <c r="Z147" s="140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</row>
    <row r="148" spans="5:40" ht="14.4" x14ac:dyDescent="0.3"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31"/>
      <c r="Q148" s="7"/>
      <c r="R148" s="7"/>
      <c r="S148" s="7"/>
      <c r="T148" s="7"/>
      <c r="U148" s="7"/>
      <c r="V148" s="7"/>
      <c r="W148" s="7"/>
      <c r="X148" s="140"/>
      <c r="Y148" s="7"/>
      <c r="Z148" s="140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</row>
    <row r="149" spans="5:40" ht="14.4" x14ac:dyDescent="0.3"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31"/>
      <c r="Q149" s="7"/>
      <c r="R149" s="7"/>
      <c r="S149" s="7"/>
      <c r="T149" s="7"/>
      <c r="U149" s="7"/>
      <c r="V149" s="7"/>
      <c r="W149" s="7"/>
      <c r="X149" s="140"/>
      <c r="Y149" s="7"/>
      <c r="Z149" s="140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</row>
    <row r="150" spans="5:40" ht="14.4" x14ac:dyDescent="0.3"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31"/>
      <c r="Q150" s="7"/>
      <c r="R150" s="7"/>
      <c r="S150" s="7"/>
      <c r="T150" s="7"/>
      <c r="U150" s="7"/>
      <c r="V150" s="7"/>
      <c r="W150" s="7"/>
      <c r="X150" s="140"/>
      <c r="Y150" s="7"/>
      <c r="Z150" s="140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</row>
    <row r="151" spans="5:40" ht="14.4" x14ac:dyDescent="0.3"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31"/>
      <c r="Q151" s="7"/>
      <c r="R151" s="7"/>
      <c r="S151" s="7"/>
      <c r="T151" s="7"/>
      <c r="U151" s="7"/>
      <c r="V151" s="7"/>
      <c r="W151" s="7"/>
      <c r="X151" s="140"/>
      <c r="Y151" s="7"/>
      <c r="Z151" s="140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</row>
    <row r="152" spans="5:40" ht="14.4" x14ac:dyDescent="0.3"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31"/>
      <c r="Q152" s="7"/>
      <c r="R152" s="7"/>
      <c r="S152" s="7"/>
      <c r="T152" s="7"/>
      <c r="U152" s="7"/>
      <c r="V152" s="7"/>
      <c r="W152" s="7"/>
      <c r="X152" s="140"/>
      <c r="Y152" s="7"/>
      <c r="Z152" s="140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</row>
    <row r="153" spans="5:40" ht="14.4" x14ac:dyDescent="0.3"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31"/>
      <c r="Q153" s="7"/>
      <c r="R153" s="7"/>
      <c r="S153" s="7"/>
      <c r="T153" s="7"/>
      <c r="U153" s="7"/>
      <c r="V153" s="7"/>
      <c r="W153" s="7"/>
      <c r="X153" s="140"/>
      <c r="Y153" s="7"/>
      <c r="Z153" s="140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</row>
    <row r="154" spans="5:40" ht="14.4" x14ac:dyDescent="0.3"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31"/>
      <c r="Q154" s="7"/>
      <c r="R154" s="7"/>
      <c r="S154" s="7"/>
      <c r="T154" s="7"/>
      <c r="U154" s="7"/>
      <c r="V154" s="7"/>
      <c r="W154" s="7"/>
      <c r="X154" s="140"/>
      <c r="Y154" s="7"/>
      <c r="Z154" s="140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</row>
    <row r="155" spans="5:40" ht="14.4" x14ac:dyDescent="0.3"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31"/>
      <c r="Q155" s="7"/>
      <c r="R155" s="7"/>
      <c r="S155" s="7"/>
      <c r="T155" s="7"/>
      <c r="U155" s="7"/>
      <c r="V155" s="7"/>
      <c r="W155" s="7"/>
      <c r="X155" s="140"/>
      <c r="Y155" s="7"/>
      <c r="Z155" s="140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</row>
    <row r="156" spans="5:40" ht="14.4" x14ac:dyDescent="0.3"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1"/>
      <c r="Q156" s="7"/>
      <c r="R156" s="7"/>
      <c r="S156" s="7"/>
      <c r="T156" s="7"/>
      <c r="U156" s="7"/>
      <c r="V156" s="7"/>
      <c r="W156" s="7"/>
      <c r="X156" s="140"/>
      <c r="Y156" s="7"/>
      <c r="Z156" s="140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</row>
    <row r="157" spans="5:40" ht="14.4" x14ac:dyDescent="0.3"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31"/>
      <c r="Q157" s="7"/>
      <c r="R157" s="7"/>
      <c r="S157" s="7"/>
      <c r="T157" s="7"/>
      <c r="U157" s="7"/>
      <c r="V157" s="7"/>
      <c r="W157" s="7"/>
      <c r="X157" s="140"/>
      <c r="Y157" s="7"/>
      <c r="Z157" s="140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</row>
    <row r="158" spans="5:40" ht="14.4" x14ac:dyDescent="0.3"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31"/>
      <c r="Q158" s="7"/>
      <c r="R158" s="7"/>
      <c r="S158" s="7"/>
      <c r="T158" s="7"/>
      <c r="U158" s="7"/>
      <c r="V158" s="7"/>
      <c r="W158" s="7"/>
      <c r="X158" s="140"/>
      <c r="Y158" s="7"/>
      <c r="Z158" s="140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</row>
    <row r="159" spans="5:40" ht="14.4" x14ac:dyDescent="0.3"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31"/>
      <c r="Q159" s="7"/>
      <c r="R159" s="7"/>
      <c r="S159" s="7"/>
      <c r="T159" s="7"/>
      <c r="U159" s="7"/>
      <c r="V159" s="7"/>
      <c r="W159" s="7"/>
      <c r="X159" s="140"/>
      <c r="Y159" s="7"/>
      <c r="Z159" s="140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</row>
    <row r="160" spans="5:40" ht="14.4" x14ac:dyDescent="0.3"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31"/>
      <c r="Q160" s="7"/>
      <c r="R160" s="7"/>
      <c r="S160" s="7"/>
      <c r="T160" s="7"/>
      <c r="U160" s="7"/>
      <c r="V160" s="7"/>
      <c r="W160" s="7"/>
      <c r="X160" s="140"/>
      <c r="Y160" s="7"/>
      <c r="Z160" s="140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5:40" ht="14.4" x14ac:dyDescent="0.3"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31"/>
      <c r="Q161" s="7"/>
      <c r="R161" s="7"/>
      <c r="S161" s="7"/>
      <c r="T161" s="7"/>
      <c r="U161" s="7"/>
      <c r="V161" s="7"/>
      <c r="W161" s="7"/>
      <c r="X161" s="140"/>
      <c r="Y161" s="7"/>
      <c r="Z161" s="140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</row>
    <row r="162" spans="5:40" ht="14.4" x14ac:dyDescent="0.3"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31"/>
      <c r="Q162" s="7"/>
      <c r="R162" s="7"/>
      <c r="S162" s="7"/>
      <c r="T162" s="7"/>
      <c r="U162" s="7"/>
      <c r="V162" s="7"/>
      <c r="W162" s="7"/>
      <c r="X162" s="140"/>
      <c r="Y162" s="7"/>
      <c r="Z162" s="140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</row>
    <row r="163" spans="5:40" ht="14.4" x14ac:dyDescent="0.3"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31"/>
      <c r="Q163" s="7"/>
      <c r="R163" s="7"/>
      <c r="S163" s="7"/>
      <c r="T163" s="7"/>
      <c r="U163" s="7"/>
      <c r="V163" s="7"/>
      <c r="W163" s="7"/>
      <c r="X163" s="140"/>
      <c r="Y163" s="7"/>
      <c r="Z163" s="140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</row>
    <row r="164" spans="5:40" ht="14.4" x14ac:dyDescent="0.3"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31"/>
      <c r="Q164" s="7"/>
      <c r="R164" s="7"/>
      <c r="S164" s="7"/>
      <c r="T164" s="7"/>
      <c r="U164" s="7"/>
      <c r="V164" s="7"/>
      <c r="W164" s="7"/>
      <c r="X164" s="140"/>
      <c r="Y164" s="7"/>
      <c r="Z164" s="140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</row>
    <row r="165" spans="5:40" ht="14.4" x14ac:dyDescent="0.3"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31"/>
      <c r="Q165" s="7"/>
      <c r="R165" s="7"/>
      <c r="S165" s="7"/>
      <c r="T165" s="7"/>
      <c r="U165" s="7"/>
      <c r="V165" s="7"/>
      <c r="W165" s="7"/>
      <c r="X165" s="140"/>
      <c r="Y165" s="7"/>
      <c r="Z165" s="140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</row>
    <row r="166" spans="5:40" ht="14.4" x14ac:dyDescent="0.3"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31"/>
      <c r="Q166" s="7"/>
      <c r="R166" s="7"/>
      <c r="S166" s="7"/>
      <c r="T166" s="7"/>
      <c r="U166" s="7"/>
      <c r="V166" s="7"/>
      <c r="W166" s="7"/>
      <c r="X166" s="140"/>
      <c r="Y166" s="7"/>
      <c r="Z166" s="140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</row>
    <row r="167" spans="5:40" ht="14.4" x14ac:dyDescent="0.3"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31"/>
      <c r="Q167" s="7"/>
      <c r="R167" s="7"/>
      <c r="S167" s="7"/>
      <c r="T167" s="7"/>
      <c r="U167" s="7"/>
      <c r="V167" s="7"/>
      <c r="W167" s="7"/>
      <c r="X167" s="140"/>
      <c r="Y167" s="7"/>
      <c r="Z167" s="140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</row>
    <row r="168" spans="5:40" ht="14.4" x14ac:dyDescent="0.3"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31"/>
      <c r="Q168" s="7"/>
      <c r="R168" s="7"/>
      <c r="S168" s="7"/>
      <c r="T168" s="7"/>
      <c r="U168" s="7"/>
      <c r="V168" s="7"/>
      <c r="W168" s="7"/>
      <c r="X168" s="140"/>
      <c r="Y168" s="7"/>
      <c r="Z168" s="140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</row>
    <row r="169" spans="5:40" ht="14.4" x14ac:dyDescent="0.3"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31"/>
      <c r="Q169" s="7"/>
      <c r="R169" s="7"/>
      <c r="S169" s="7"/>
      <c r="T169" s="7"/>
      <c r="U169" s="7"/>
      <c r="V169" s="7"/>
      <c r="W169" s="7"/>
      <c r="X169" s="140"/>
      <c r="Y169" s="7"/>
      <c r="Z169" s="140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</row>
    <row r="170" spans="5:40" ht="14.4" x14ac:dyDescent="0.3"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31"/>
      <c r="Q170" s="7"/>
      <c r="R170" s="7"/>
      <c r="S170" s="7"/>
      <c r="T170" s="7"/>
      <c r="U170" s="7"/>
      <c r="V170" s="7"/>
      <c r="W170" s="7"/>
      <c r="X170" s="140"/>
      <c r="Y170" s="7"/>
      <c r="Z170" s="140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</row>
    <row r="171" spans="5:40" ht="14.4" x14ac:dyDescent="0.3"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31"/>
      <c r="Q171" s="7"/>
      <c r="R171" s="7"/>
      <c r="S171" s="7"/>
      <c r="T171" s="7"/>
      <c r="U171" s="7"/>
      <c r="V171" s="7"/>
      <c r="W171" s="7"/>
      <c r="X171" s="140"/>
      <c r="Y171" s="7"/>
      <c r="Z171" s="140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</row>
    <row r="172" spans="5:40" ht="14.4" x14ac:dyDescent="0.3"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31"/>
      <c r="Q172" s="7"/>
      <c r="R172" s="7"/>
      <c r="S172" s="7"/>
      <c r="T172" s="7"/>
      <c r="U172" s="7"/>
      <c r="V172" s="7"/>
      <c r="W172" s="7"/>
      <c r="X172" s="140"/>
      <c r="Y172" s="7"/>
      <c r="Z172" s="140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</row>
    <row r="173" spans="5:40" ht="14.4" x14ac:dyDescent="0.3"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31"/>
      <c r="Q173" s="7"/>
      <c r="R173" s="7"/>
      <c r="S173" s="7"/>
      <c r="T173" s="7"/>
      <c r="U173" s="7"/>
      <c r="V173" s="7"/>
      <c r="W173" s="7"/>
      <c r="X173" s="140"/>
      <c r="Y173" s="7"/>
      <c r="Z173" s="140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</row>
    <row r="174" spans="5:40" ht="14.4" x14ac:dyDescent="0.3"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31"/>
      <c r="Q174" s="7"/>
      <c r="R174" s="7"/>
      <c r="S174" s="7"/>
      <c r="T174" s="7"/>
      <c r="U174" s="7"/>
      <c r="V174" s="7"/>
      <c r="W174" s="7"/>
      <c r="X174" s="140"/>
      <c r="Y174" s="7"/>
      <c r="Z174" s="140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</row>
    <row r="175" spans="5:40" ht="14.4" x14ac:dyDescent="0.3"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31"/>
      <c r="Q175" s="7"/>
      <c r="R175" s="7"/>
      <c r="S175" s="7"/>
      <c r="T175" s="7"/>
      <c r="U175" s="7"/>
      <c r="V175" s="7"/>
      <c r="W175" s="7"/>
      <c r="X175" s="140"/>
      <c r="Y175" s="7"/>
      <c r="Z175" s="140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</row>
    <row r="176" spans="5:40" ht="14.4" x14ac:dyDescent="0.3"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31"/>
      <c r="Q176" s="7"/>
      <c r="R176" s="7"/>
      <c r="S176" s="7"/>
      <c r="T176" s="7"/>
      <c r="U176" s="7"/>
      <c r="V176" s="7"/>
      <c r="W176" s="7"/>
      <c r="X176" s="140"/>
      <c r="Y176" s="7"/>
      <c r="Z176" s="140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</row>
    <row r="177" spans="5:40" ht="14.4" x14ac:dyDescent="0.3"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31"/>
      <c r="Q177" s="7"/>
      <c r="R177" s="7"/>
      <c r="S177" s="7"/>
      <c r="T177" s="7"/>
      <c r="U177" s="7"/>
      <c r="V177" s="7"/>
      <c r="W177" s="7"/>
      <c r="X177" s="140"/>
      <c r="Y177" s="7"/>
      <c r="Z177" s="140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</row>
    <row r="178" spans="5:40" ht="14.4" x14ac:dyDescent="0.3"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31"/>
      <c r="Q178" s="7"/>
      <c r="R178" s="7"/>
      <c r="S178" s="7"/>
      <c r="T178" s="7"/>
      <c r="U178" s="7"/>
      <c r="V178" s="7"/>
      <c r="W178" s="7"/>
      <c r="X178" s="140"/>
      <c r="Y178" s="7"/>
      <c r="Z178" s="140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</row>
    <row r="179" spans="5:40" ht="14.4" x14ac:dyDescent="0.3"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31"/>
      <c r="Q179" s="7"/>
      <c r="R179" s="7"/>
      <c r="S179" s="7"/>
      <c r="T179" s="7"/>
      <c r="U179" s="7"/>
      <c r="V179" s="7"/>
      <c r="W179" s="7"/>
      <c r="X179" s="140"/>
      <c r="Y179" s="7"/>
      <c r="Z179" s="140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</row>
    <row r="180" spans="5:40" ht="14.4" x14ac:dyDescent="0.3"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31"/>
      <c r="Q180" s="7"/>
      <c r="R180" s="7"/>
      <c r="S180" s="7"/>
      <c r="T180" s="7"/>
      <c r="U180" s="7"/>
      <c r="V180" s="7"/>
      <c r="W180" s="7"/>
      <c r="X180" s="140"/>
      <c r="Y180" s="7"/>
      <c r="Z180" s="140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</row>
    <row r="181" spans="5:40" ht="14.4" x14ac:dyDescent="0.3"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31"/>
      <c r="Q181" s="7"/>
      <c r="R181" s="7"/>
      <c r="S181" s="7"/>
      <c r="T181" s="7"/>
      <c r="U181" s="7"/>
      <c r="V181" s="7"/>
      <c r="W181" s="7"/>
      <c r="X181" s="140"/>
      <c r="Y181" s="7"/>
      <c r="Z181" s="140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</row>
    <row r="182" spans="5:40" ht="14.4" x14ac:dyDescent="0.3"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31"/>
      <c r="Q182" s="7"/>
      <c r="R182" s="7"/>
      <c r="S182" s="7"/>
      <c r="T182" s="7"/>
      <c r="U182" s="7"/>
      <c r="V182" s="7"/>
      <c r="W182" s="7"/>
      <c r="X182" s="140"/>
      <c r="Y182" s="7"/>
      <c r="Z182" s="140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</row>
    <row r="183" spans="5:40" ht="14.4" x14ac:dyDescent="0.3"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31"/>
      <c r="Q183" s="7"/>
      <c r="R183" s="7"/>
      <c r="S183" s="7"/>
      <c r="T183" s="7"/>
      <c r="U183" s="7"/>
      <c r="V183" s="7"/>
      <c r="W183" s="7"/>
      <c r="X183" s="140"/>
      <c r="Y183" s="7"/>
      <c r="Z183" s="140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</row>
    <row r="184" spans="5:40" ht="14.4" x14ac:dyDescent="0.3"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31"/>
      <c r="Q184" s="7"/>
      <c r="R184" s="7"/>
      <c r="S184" s="7"/>
      <c r="T184" s="7"/>
      <c r="U184" s="7"/>
      <c r="V184" s="7"/>
      <c r="W184" s="7"/>
      <c r="X184" s="140"/>
      <c r="Y184" s="7"/>
      <c r="Z184" s="140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</row>
    <row r="185" spans="5:40" ht="14.4" x14ac:dyDescent="0.3"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31"/>
      <c r="Q185" s="7"/>
      <c r="R185" s="7"/>
      <c r="S185" s="7"/>
      <c r="T185" s="7"/>
      <c r="U185" s="7"/>
      <c r="V185" s="7"/>
      <c r="W185" s="7"/>
      <c r="X185" s="140"/>
      <c r="Y185" s="7"/>
      <c r="Z185" s="140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</row>
    <row r="186" spans="5:40" ht="14.4" x14ac:dyDescent="0.3"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31"/>
      <c r="Q186" s="7"/>
      <c r="R186" s="7"/>
      <c r="S186" s="7"/>
      <c r="T186" s="7"/>
      <c r="U186" s="7"/>
      <c r="V186" s="7"/>
      <c r="W186" s="7"/>
      <c r="X186" s="140"/>
      <c r="Y186" s="7"/>
      <c r="Z186" s="140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</row>
    <row r="187" spans="5:40" ht="14.4" x14ac:dyDescent="0.3"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31"/>
      <c r="Q187" s="7"/>
      <c r="R187" s="7"/>
      <c r="S187" s="7"/>
      <c r="T187" s="7"/>
      <c r="U187" s="7"/>
      <c r="V187" s="7"/>
      <c r="W187" s="7"/>
      <c r="X187" s="140"/>
      <c r="Y187" s="7"/>
      <c r="Z187" s="140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</row>
    <row r="188" spans="5:40" ht="14.4" x14ac:dyDescent="0.3"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31"/>
      <c r="Q188" s="7"/>
      <c r="R188" s="7"/>
      <c r="S188" s="7"/>
      <c r="T188" s="7"/>
      <c r="U188" s="7"/>
      <c r="V188" s="7"/>
      <c r="W188" s="7"/>
      <c r="X188" s="140"/>
      <c r="Y188" s="7"/>
      <c r="Z188" s="140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</row>
    <row r="189" spans="5:40" ht="14.4" x14ac:dyDescent="0.3"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31"/>
      <c r="Q189" s="7"/>
      <c r="R189" s="7"/>
      <c r="S189" s="7"/>
      <c r="T189" s="7"/>
      <c r="U189" s="7"/>
      <c r="V189" s="7"/>
      <c r="W189" s="7"/>
      <c r="X189" s="140"/>
      <c r="Y189" s="7"/>
      <c r="Z189" s="140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</row>
    <row r="190" spans="5:40" ht="14.4" x14ac:dyDescent="0.3"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31"/>
      <c r="Q190" s="7"/>
      <c r="R190" s="7"/>
      <c r="S190" s="7"/>
      <c r="T190" s="7"/>
      <c r="U190" s="7"/>
      <c r="V190" s="7"/>
      <c r="W190" s="7"/>
      <c r="X190" s="140"/>
      <c r="Y190" s="7"/>
      <c r="Z190" s="140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</row>
    <row r="191" spans="5:40" ht="14.4" x14ac:dyDescent="0.3"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31"/>
      <c r="Q191" s="7"/>
      <c r="R191" s="7"/>
      <c r="S191" s="7"/>
      <c r="T191" s="7"/>
      <c r="U191" s="7"/>
      <c r="V191" s="7"/>
      <c r="W191" s="7"/>
      <c r="X191" s="140"/>
      <c r="Y191" s="7"/>
      <c r="Z191" s="140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</row>
    <row r="192" spans="5:40" ht="14.4" x14ac:dyDescent="0.3"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31"/>
      <c r="Q192" s="7"/>
      <c r="R192" s="7"/>
      <c r="S192" s="7"/>
      <c r="T192" s="7"/>
      <c r="U192" s="7"/>
      <c r="V192" s="7"/>
      <c r="W192" s="7"/>
      <c r="X192" s="140"/>
      <c r="Y192" s="7"/>
      <c r="Z192" s="140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</row>
    <row r="193" spans="5:40" ht="14.4" x14ac:dyDescent="0.3"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31"/>
      <c r="Q193" s="7"/>
      <c r="R193" s="7"/>
      <c r="S193" s="7"/>
      <c r="T193" s="7"/>
      <c r="U193" s="7"/>
      <c r="V193" s="7"/>
      <c r="W193" s="7"/>
      <c r="X193" s="140"/>
      <c r="Y193" s="7"/>
      <c r="Z193" s="140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</row>
    <row r="194" spans="5:40" ht="14.4" x14ac:dyDescent="0.3"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31"/>
      <c r="Q194" s="7"/>
      <c r="R194" s="7"/>
      <c r="S194" s="7"/>
      <c r="T194" s="7"/>
      <c r="U194" s="7"/>
      <c r="V194" s="7"/>
      <c r="W194" s="7"/>
      <c r="X194" s="140"/>
      <c r="Y194" s="7"/>
      <c r="Z194" s="140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</row>
    <row r="195" spans="5:40" ht="14.4" x14ac:dyDescent="0.3"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31"/>
      <c r="Q195" s="7"/>
      <c r="R195" s="7"/>
      <c r="S195" s="7"/>
      <c r="T195" s="7"/>
      <c r="U195" s="7"/>
      <c r="V195" s="7"/>
      <c r="W195" s="7"/>
      <c r="X195" s="140"/>
      <c r="Y195" s="7"/>
      <c r="Z195" s="140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</row>
    <row r="196" spans="5:40" ht="14.4" x14ac:dyDescent="0.3"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31"/>
      <c r="Q196" s="7"/>
      <c r="R196" s="7"/>
      <c r="S196" s="7"/>
      <c r="T196" s="7"/>
      <c r="U196" s="7"/>
      <c r="V196" s="7"/>
      <c r="W196" s="7"/>
      <c r="X196" s="140"/>
      <c r="Y196" s="7"/>
      <c r="Z196" s="140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</row>
    <row r="197" spans="5:40" ht="14.4" x14ac:dyDescent="0.3"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31"/>
      <c r="Q197" s="7"/>
      <c r="R197" s="7"/>
      <c r="S197" s="7"/>
      <c r="T197" s="7"/>
      <c r="U197" s="7"/>
      <c r="V197" s="7"/>
      <c r="W197" s="7"/>
      <c r="X197" s="140"/>
      <c r="Y197" s="7"/>
      <c r="Z197" s="140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</row>
    <row r="198" spans="5:40" ht="14.4" x14ac:dyDescent="0.3"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31"/>
      <c r="Q198" s="7"/>
      <c r="R198" s="7"/>
      <c r="S198" s="7"/>
      <c r="T198" s="7"/>
      <c r="U198" s="7"/>
      <c r="V198" s="7"/>
      <c r="W198" s="7"/>
      <c r="X198" s="140"/>
      <c r="Y198" s="7"/>
      <c r="Z198" s="140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</row>
    <row r="199" spans="5:40" ht="14.4" x14ac:dyDescent="0.3"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31"/>
      <c r="Q199" s="7"/>
      <c r="R199" s="7"/>
      <c r="S199" s="7"/>
      <c r="T199" s="7"/>
      <c r="U199" s="7"/>
      <c r="V199" s="7"/>
      <c r="W199" s="7"/>
      <c r="X199" s="140"/>
      <c r="Y199" s="7"/>
      <c r="Z199" s="140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</row>
    <row r="200" spans="5:40" ht="14.4" x14ac:dyDescent="0.3"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31"/>
      <c r="Q200" s="7"/>
      <c r="R200" s="7"/>
      <c r="S200" s="7"/>
      <c r="T200" s="7"/>
      <c r="U200" s="7"/>
      <c r="V200" s="7"/>
      <c r="W200" s="7"/>
      <c r="X200" s="140"/>
      <c r="Y200" s="7"/>
      <c r="Z200" s="140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</row>
    <row r="201" spans="5:40" ht="14.4" x14ac:dyDescent="0.3"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31"/>
      <c r="Q201" s="7"/>
      <c r="R201" s="7"/>
      <c r="S201" s="7"/>
      <c r="T201" s="7"/>
      <c r="U201" s="7"/>
      <c r="V201" s="7"/>
      <c r="W201" s="7"/>
      <c r="X201" s="140"/>
      <c r="Y201" s="7"/>
      <c r="Z201" s="140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</row>
    <row r="202" spans="5:40" ht="14.4" x14ac:dyDescent="0.3"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31"/>
      <c r="Q202" s="7"/>
      <c r="R202" s="7"/>
      <c r="S202" s="7"/>
      <c r="T202" s="7"/>
      <c r="U202" s="7"/>
      <c r="V202" s="7"/>
      <c r="W202" s="7"/>
      <c r="X202" s="140"/>
      <c r="Y202" s="7"/>
      <c r="Z202" s="140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</row>
    <row r="203" spans="5:40" ht="14.4" x14ac:dyDescent="0.3"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31"/>
      <c r="Q203" s="7"/>
      <c r="R203" s="7"/>
      <c r="S203" s="7"/>
      <c r="T203" s="7"/>
      <c r="U203" s="7"/>
      <c r="V203" s="7"/>
      <c r="W203" s="7"/>
      <c r="X203" s="140"/>
      <c r="Y203" s="7"/>
      <c r="Z203" s="140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</row>
    <row r="204" spans="5:40" ht="14.4" x14ac:dyDescent="0.3"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31"/>
      <c r="Q204" s="7"/>
      <c r="R204" s="7"/>
      <c r="S204" s="7"/>
      <c r="T204" s="7"/>
      <c r="U204" s="7"/>
      <c r="V204" s="7"/>
      <c r="W204" s="7"/>
      <c r="X204" s="140"/>
      <c r="Y204" s="7"/>
      <c r="Z204" s="140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</row>
    <row r="205" spans="5:40" ht="14.4" x14ac:dyDescent="0.3"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31"/>
      <c r="Q205" s="7"/>
      <c r="R205" s="7"/>
      <c r="S205" s="7"/>
      <c r="T205" s="7"/>
      <c r="U205" s="7"/>
      <c r="V205" s="7"/>
      <c r="W205" s="7"/>
      <c r="X205" s="140"/>
      <c r="Y205" s="7"/>
      <c r="Z205" s="140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</row>
    <row r="206" spans="5:40" ht="14.4" x14ac:dyDescent="0.3"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31"/>
      <c r="Q206" s="7"/>
      <c r="R206" s="7"/>
      <c r="S206" s="7"/>
      <c r="T206" s="7"/>
      <c r="U206" s="7"/>
      <c r="V206" s="7"/>
      <c r="W206" s="7"/>
      <c r="X206" s="140"/>
      <c r="Y206" s="7"/>
      <c r="Z206" s="140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</row>
    <row r="207" spans="5:40" ht="14.4" x14ac:dyDescent="0.3"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31"/>
      <c r="Q207" s="7"/>
      <c r="R207" s="7"/>
      <c r="S207" s="7"/>
      <c r="T207" s="7"/>
      <c r="U207" s="7"/>
      <c r="V207" s="7"/>
      <c r="W207" s="7"/>
      <c r="X207" s="140"/>
      <c r="Y207" s="7"/>
      <c r="Z207" s="140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</row>
    <row r="208" spans="5:40" ht="14.4" x14ac:dyDescent="0.3"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31"/>
      <c r="Q208" s="7"/>
      <c r="R208" s="7"/>
      <c r="S208" s="7"/>
      <c r="T208" s="7"/>
      <c r="U208" s="7"/>
      <c r="V208" s="7"/>
      <c r="W208" s="7"/>
      <c r="X208" s="140"/>
      <c r="Y208" s="7"/>
      <c r="Z208" s="140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</row>
    <row r="209" spans="5:40" ht="14.4" x14ac:dyDescent="0.3"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31"/>
      <c r="Q209" s="7"/>
      <c r="R209" s="7"/>
      <c r="S209" s="7"/>
      <c r="T209" s="7"/>
      <c r="U209" s="7"/>
      <c r="V209" s="7"/>
      <c r="W209" s="7"/>
      <c r="X209" s="140"/>
      <c r="Y209" s="7"/>
      <c r="Z209" s="140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</row>
    <row r="210" spans="5:40" ht="14.4" x14ac:dyDescent="0.3"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31"/>
      <c r="Q210" s="7"/>
      <c r="R210" s="7"/>
      <c r="S210" s="7"/>
      <c r="T210" s="7"/>
      <c r="U210" s="7"/>
      <c r="V210" s="7"/>
      <c r="W210" s="7"/>
      <c r="X210" s="140"/>
      <c r="Y210" s="7"/>
      <c r="Z210" s="140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</row>
    <row r="211" spans="5:40" ht="14.4" x14ac:dyDescent="0.3"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31"/>
      <c r="Q211" s="7"/>
      <c r="R211" s="7"/>
      <c r="S211" s="7"/>
      <c r="T211" s="7"/>
      <c r="U211" s="7"/>
      <c r="V211" s="7"/>
      <c r="W211" s="7"/>
      <c r="X211" s="140"/>
      <c r="Y211" s="7"/>
      <c r="Z211" s="140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</row>
    <row r="212" spans="5:40" ht="14.4" x14ac:dyDescent="0.3"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31"/>
      <c r="Q212" s="7"/>
      <c r="R212" s="7"/>
      <c r="S212" s="7"/>
      <c r="T212" s="7"/>
      <c r="U212" s="7"/>
      <c r="V212" s="7"/>
      <c r="W212" s="7"/>
      <c r="X212" s="140"/>
      <c r="Y212" s="7"/>
      <c r="Z212" s="140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</row>
    <row r="213" spans="5:40" ht="14.4" x14ac:dyDescent="0.3"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31"/>
      <c r="Q213" s="7"/>
      <c r="R213" s="7"/>
      <c r="S213" s="7"/>
      <c r="T213" s="7"/>
      <c r="U213" s="7"/>
      <c r="V213" s="7"/>
      <c r="W213" s="7"/>
      <c r="X213" s="140"/>
      <c r="Y213" s="7"/>
      <c r="Z213" s="140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</row>
    <row r="214" spans="5:40" ht="14.4" x14ac:dyDescent="0.3"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31"/>
      <c r="Q214" s="7"/>
      <c r="R214" s="7"/>
      <c r="S214" s="7"/>
      <c r="T214" s="7"/>
      <c r="U214" s="7"/>
      <c r="V214" s="7"/>
      <c r="W214" s="7"/>
      <c r="X214" s="140"/>
      <c r="Y214" s="7"/>
      <c r="Z214" s="140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</row>
    <row r="215" spans="5:40" ht="14.4" x14ac:dyDescent="0.3"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31"/>
      <c r="Q215" s="7"/>
      <c r="R215" s="7"/>
      <c r="S215" s="7"/>
      <c r="T215" s="7"/>
      <c r="U215" s="7"/>
      <c r="V215" s="7"/>
      <c r="W215" s="7"/>
      <c r="X215" s="140"/>
      <c r="Y215" s="7"/>
      <c r="Z215" s="140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</row>
    <row r="216" spans="5:40" ht="14.4" x14ac:dyDescent="0.3"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31"/>
      <c r="Q216" s="7"/>
      <c r="R216" s="7"/>
      <c r="S216" s="7"/>
      <c r="T216" s="7"/>
      <c r="U216" s="7"/>
      <c r="V216" s="7"/>
      <c r="W216" s="7"/>
      <c r="X216" s="140"/>
      <c r="Y216" s="7"/>
      <c r="Z216" s="140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</row>
    <row r="217" spans="5:40" ht="14.4" x14ac:dyDescent="0.3"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31"/>
      <c r="Q217" s="7"/>
      <c r="R217" s="7"/>
      <c r="S217" s="7"/>
      <c r="T217" s="7"/>
      <c r="U217" s="7"/>
      <c r="V217" s="7"/>
      <c r="W217" s="7"/>
      <c r="X217" s="140"/>
      <c r="Y217" s="7"/>
      <c r="Z217" s="140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</row>
    <row r="218" spans="5:40" ht="14.4" x14ac:dyDescent="0.3"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31"/>
      <c r="Q218" s="7"/>
      <c r="R218" s="7"/>
      <c r="S218" s="7"/>
      <c r="T218" s="7"/>
      <c r="U218" s="7"/>
      <c r="V218" s="7"/>
      <c r="W218" s="7"/>
      <c r="X218" s="140"/>
      <c r="Y218" s="7"/>
      <c r="Z218" s="140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</row>
    <row r="219" spans="5:40" ht="14.4" x14ac:dyDescent="0.3"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31"/>
      <c r="Q219" s="7"/>
      <c r="R219" s="7"/>
      <c r="S219" s="7"/>
      <c r="T219" s="7"/>
      <c r="U219" s="7"/>
      <c r="V219" s="7"/>
      <c r="W219" s="7"/>
      <c r="X219" s="140"/>
      <c r="Y219" s="7"/>
      <c r="Z219" s="140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</row>
    <row r="220" spans="5:40" ht="14.4" x14ac:dyDescent="0.3"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31"/>
      <c r="Q220" s="7"/>
      <c r="R220" s="7"/>
      <c r="S220" s="7"/>
      <c r="T220" s="7"/>
      <c r="U220" s="7"/>
      <c r="V220" s="7"/>
      <c r="W220" s="7"/>
      <c r="X220" s="140"/>
      <c r="Y220" s="7"/>
      <c r="Z220" s="140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</row>
    <row r="221" spans="5:40" ht="14.4" x14ac:dyDescent="0.3"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31"/>
      <c r="Q221" s="7"/>
      <c r="R221" s="7"/>
      <c r="S221" s="7"/>
      <c r="T221" s="7"/>
      <c r="U221" s="7"/>
      <c r="V221" s="7"/>
      <c r="W221" s="7"/>
      <c r="X221" s="140"/>
      <c r="Y221" s="7"/>
      <c r="Z221" s="140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</row>
    <row r="222" spans="5:40" ht="14.4" x14ac:dyDescent="0.3"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31"/>
      <c r="Q222" s="7"/>
      <c r="R222" s="7"/>
      <c r="S222" s="7"/>
      <c r="T222" s="7"/>
      <c r="U222" s="7"/>
      <c r="V222" s="7"/>
      <c r="W222" s="7"/>
      <c r="X222" s="140"/>
      <c r="Y222" s="7"/>
      <c r="Z222" s="140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</row>
    <row r="223" spans="5:40" ht="14.4" x14ac:dyDescent="0.3"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31"/>
      <c r="Q223" s="7"/>
      <c r="R223" s="7"/>
      <c r="S223" s="7"/>
      <c r="T223" s="7"/>
      <c r="U223" s="7"/>
      <c r="V223" s="7"/>
      <c r="W223" s="7"/>
      <c r="X223" s="140"/>
      <c r="Y223" s="7"/>
      <c r="Z223" s="140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</row>
    <row r="224" spans="5:40" ht="14.4" x14ac:dyDescent="0.3"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31"/>
      <c r="Q224" s="7"/>
      <c r="R224" s="7"/>
      <c r="S224" s="7"/>
      <c r="T224" s="7"/>
      <c r="U224" s="7"/>
      <c r="V224" s="7"/>
      <c r="W224" s="7"/>
      <c r="X224" s="140"/>
      <c r="Y224" s="7"/>
      <c r="Z224" s="140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</row>
    <row r="225" spans="5:40" ht="14.4" x14ac:dyDescent="0.3"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31"/>
      <c r="Q225" s="7"/>
      <c r="R225" s="7"/>
      <c r="S225" s="7"/>
      <c r="T225" s="7"/>
      <c r="U225" s="7"/>
      <c r="V225" s="7"/>
      <c r="W225" s="7"/>
      <c r="X225" s="140"/>
      <c r="Y225" s="7"/>
      <c r="Z225" s="140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</row>
    <row r="226" spans="5:40" ht="14.4" x14ac:dyDescent="0.3"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31"/>
      <c r="Q226" s="7"/>
      <c r="R226" s="7"/>
      <c r="S226" s="7"/>
      <c r="T226" s="7"/>
      <c r="U226" s="7"/>
      <c r="V226" s="7"/>
      <c r="W226" s="7"/>
      <c r="X226" s="140"/>
      <c r="Y226" s="7"/>
      <c r="Z226" s="140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</row>
    <row r="227" spans="5:40" ht="14.4" x14ac:dyDescent="0.3"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31"/>
      <c r="Q227" s="7"/>
      <c r="R227" s="7"/>
      <c r="S227" s="7"/>
      <c r="T227" s="7"/>
      <c r="U227" s="7"/>
      <c r="V227" s="7"/>
      <c r="W227" s="7"/>
      <c r="X227" s="140"/>
      <c r="Y227" s="7"/>
      <c r="Z227" s="140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</row>
    <row r="228" spans="5:40" ht="14.4" x14ac:dyDescent="0.3"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31"/>
      <c r="Q228" s="7"/>
      <c r="R228" s="7"/>
      <c r="S228" s="7"/>
      <c r="T228" s="7"/>
      <c r="U228" s="7"/>
      <c r="V228" s="7"/>
      <c r="W228" s="7"/>
      <c r="X228" s="140"/>
      <c r="Y228" s="7"/>
      <c r="Z228" s="140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</row>
    <row r="229" spans="5:40" ht="14.4" x14ac:dyDescent="0.3"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31"/>
      <c r="Q229" s="7"/>
      <c r="R229" s="7"/>
      <c r="S229" s="7"/>
      <c r="T229" s="7"/>
      <c r="U229" s="7"/>
      <c r="V229" s="7"/>
      <c r="W229" s="7"/>
      <c r="X229" s="140"/>
      <c r="Y229" s="7"/>
      <c r="Z229" s="140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</row>
    <row r="230" spans="5:40" ht="14.4" x14ac:dyDescent="0.3"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31"/>
      <c r="Q230" s="7"/>
      <c r="R230" s="7"/>
      <c r="S230" s="7"/>
      <c r="T230" s="7"/>
      <c r="U230" s="7"/>
      <c r="V230" s="7"/>
      <c r="W230" s="7"/>
      <c r="X230" s="140"/>
      <c r="Y230" s="7"/>
      <c r="Z230" s="140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</row>
    <row r="231" spans="5:40" ht="14.4" x14ac:dyDescent="0.3"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31"/>
      <c r="Q231" s="7"/>
      <c r="R231" s="7"/>
      <c r="S231" s="7"/>
      <c r="T231" s="7"/>
      <c r="U231" s="7"/>
      <c r="V231" s="7"/>
      <c r="W231" s="7"/>
      <c r="X231" s="140"/>
      <c r="Y231" s="7"/>
      <c r="Z231" s="140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</row>
    <row r="232" spans="5:40" ht="14.4" x14ac:dyDescent="0.3"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31"/>
      <c r="Q232" s="7"/>
      <c r="R232" s="7"/>
      <c r="S232" s="7"/>
      <c r="T232" s="7"/>
      <c r="U232" s="7"/>
      <c r="V232" s="7"/>
      <c r="W232" s="7"/>
      <c r="X232" s="140"/>
      <c r="Y232" s="7"/>
      <c r="Z232" s="140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</row>
    <row r="233" spans="5:40" ht="14.4" x14ac:dyDescent="0.3"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31"/>
      <c r="Q233" s="7"/>
      <c r="R233" s="7"/>
      <c r="S233" s="7"/>
      <c r="T233" s="7"/>
      <c r="U233" s="7"/>
      <c r="V233" s="7"/>
      <c r="W233" s="7"/>
      <c r="X233" s="140"/>
      <c r="Y233" s="7"/>
      <c r="Z233" s="140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</row>
    <row r="234" spans="5:40" ht="14.4" x14ac:dyDescent="0.3"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31"/>
      <c r="Q234" s="7"/>
      <c r="R234" s="7"/>
      <c r="S234" s="7"/>
      <c r="T234" s="7"/>
      <c r="U234" s="7"/>
      <c r="V234" s="7"/>
      <c r="W234" s="7"/>
      <c r="X234" s="140"/>
      <c r="Y234" s="7"/>
      <c r="Z234" s="140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</row>
    <row r="235" spans="5:40" ht="14.4" x14ac:dyDescent="0.3"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31"/>
      <c r="Q235" s="7"/>
      <c r="R235" s="7"/>
      <c r="S235" s="7"/>
      <c r="T235" s="7"/>
      <c r="U235" s="7"/>
      <c r="V235" s="7"/>
      <c r="W235" s="7"/>
      <c r="X235" s="140"/>
      <c r="Y235" s="7"/>
      <c r="Z235" s="140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</row>
    <row r="236" spans="5:40" ht="14.4" x14ac:dyDescent="0.3"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31"/>
      <c r="Q236" s="7"/>
      <c r="R236" s="7"/>
      <c r="S236" s="7"/>
      <c r="T236" s="7"/>
      <c r="U236" s="7"/>
      <c r="V236" s="7"/>
      <c r="W236" s="7"/>
      <c r="X236" s="140"/>
      <c r="Y236" s="7"/>
      <c r="Z236" s="140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</row>
    <row r="237" spans="5:40" ht="14.4" x14ac:dyDescent="0.3"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31"/>
      <c r="Q237" s="7"/>
      <c r="R237" s="7"/>
      <c r="S237" s="7"/>
      <c r="T237" s="7"/>
      <c r="U237" s="7"/>
      <c r="V237" s="7"/>
      <c r="W237" s="7"/>
      <c r="X237" s="140"/>
      <c r="Y237" s="7"/>
      <c r="Z237" s="140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</row>
    <row r="238" spans="5:40" ht="14.4" x14ac:dyDescent="0.3"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31"/>
      <c r="Q238" s="7"/>
      <c r="R238" s="7"/>
      <c r="S238" s="7"/>
      <c r="T238" s="7"/>
      <c r="U238" s="7"/>
      <c r="V238" s="7"/>
      <c r="W238" s="7"/>
      <c r="X238" s="140"/>
      <c r="Y238" s="7"/>
      <c r="Z238" s="140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</row>
    <row r="239" spans="5:40" ht="14.4" x14ac:dyDescent="0.3"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31"/>
      <c r="Q239" s="7"/>
      <c r="R239" s="7"/>
      <c r="S239" s="7"/>
      <c r="T239" s="7"/>
      <c r="U239" s="7"/>
      <c r="V239" s="7"/>
      <c r="W239" s="7"/>
      <c r="X239" s="140"/>
      <c r="Y239" s="7"/>
      <c r="Z239" s="140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</row>
    <row r="240" spans="5:40" ht="14.4" x14ac:dyDescent="0.3"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31"/>
      <c r="Q240" s="7"/>
      <c r="R240" s="7"/>
      <c r="S240" s="7"/>
      <c r="T240" s="7"/>
      <c r="U240" s="7"/>
      <c r="V240" s="7"/>
      <c r="W240" s="7"/>
      <c r="X240" s="140"/>
      <c r="Y240" s="7"/>
      <c r="Z240" s="140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</row>
    <row r="241" spans="5:40" ht="14.4" x14ac:dyDescent="0.3"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31"/>
      <c r="Q241" s="7"/>
      <c r="R241" s="7"/>
      <c r="S241" s="7"/>
      <c r="T241" s="7"/>
      <c r="U241" s="7"/>
      <c r="V241" s="7"/>
      <c r="W241" s="7"/>
      <c r="X241" s="140"/>
      <c r="Y241" s="7"/>
      <c r="Z241" s="140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</row>
    <row r="242" spans="5:40" ht="14.4" x14ac:dyDescent="0.3"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31"/>
      <c r="Q242" s="7"/>
      <c r="R242" s="7"/>
      <c r="S242" s="7"/>
      <c r="T242" s="7"/>
      <c r="U242" s="7"/>
      <c r="V242" s="7"/>
      <c r="W242" s="7"/>
      <c r="X242" s="140"/>
      <c r="Y242" s="7"/>
      <c r="Z242" s="140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</row>
    <row r="243" spans="5:40" ht="14.4" x14ac:dyDescent="0.3"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31"/>
      <c r="Q243" s="7"/>
      <c r="R243" s="7"/>
      <c r="S243" s="7"/>
      <c r="T243" s="7"/>
      <c r="U243" s="7"/>
      <c r="V243" s="7"/>
      <c r="W243" s="7"/>
      <c r="X243" s="140"/>
      <c r="Y243" s="7"/>
      <c r="Z243" s="140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</row>
    <row r="244" spans="5:40" ht="14.4" x14ac:dyDescent="0.3"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31"/>
      <c r="Q244" s="7"/>
      <c r="R244" s="7"/>
      <c r="S244" s="7"/>
      <c r="T244" s="7"/>
      <c r="U244" s="7"/>
      <c r="V244" s="7"/>
      <c r="W244" s="7"/>
      <c r="X244" s="140"/>
      <c r="Y244" s="7"/>
      <c r="Z244" s="140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</row>
    <row r="245" spans="5:40" ht="14.4" x14ac:dyDescent="0.3"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31"/>
      <c r="Q245" s="7"/>
      <c r="R245" s="7"/>
      <c r="S245" s="7"/>
      <c r="T245" s="7"/>
      <c r="U245" s="7"/>
      <c r="V245" s="7"/>
      <c r="W245" s="7"/>
      <c r="X245" s="140"/>
      <c r="Y245" s="7"/>
      <c r="Z245" s="140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</row>
    <row r="246" spans="5:40" ht="14.4" x14ac:dyDescent="0.3"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31"/>
      <c r="Q246" s="7"/>
      <c r="R246" s="7"/>
      <c r="S246" s="7"/>
      <c r="T246" s="7"/>
      <c r="U246" s="7"/>
      <c r="V246" s="7"/>
      <c r="W246" s="7"/>
      <c r="X246" s="140"/>
      <c r="Y246" s="7"/>
      <c r="Z246" s="140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</row>
    <row r="247" spans="5:40" ht="14.4" x14ac:dyDescent="0.3"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31"/>
      <c r="Q247" s="7"/>
      <c r="R247" s="7"/>
      <c r="S247" s="7"/>
      <c r="T247" s="7"/>
      <c r="U247" s="7"/>
      <c r="V247" s="7"/>
      <c r="W247" s="7"/>
      <c r="X247" s="140"/>
      <c r="Y247" s="7"/>
      <c r="Z247" s="140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</row>
    <row r="248" spans="5:40" ht="14.4" x14ac:dyDescent="0.3"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31"/>
      <c r="Q248" s="7"/>
      <c r="R248" s="7"/>
      <c r="S248" s="7"/>
      <c r="T248" s="7"/>
      <c r="U248" s="7"/>
      <c r="V248" s="7"/>
      <c r="W248" s="7"/>
      <c r="X248" s="140"/>
      <c r="Y248" s="7"/>
      <c r="Z248" s="140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</row>
    <row r="249" spans="5:40" ht="14.4" x14ac:dyDescent="0.3"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31"/>
      <c r="Q249" s="7"/>
      <c r="R249" s="7"/>
      <c r="S249" s="7"/>
      <c r="T249" s="7"/>
      <c r="U249" s="7"/>
      <c r="V249" s="7"/>
      <c r="W249" s="7"/>
      <c r="X249" s="140"/>
      <c r="Y249" s="7"/>
      <c r="Z249" s="140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</row>
    <row r="250" spans="5:40" ht="14.4" x14ac:dyDescent="0.3"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31"/>
      <c r="Q250" s="7"/>
      <c r="R250" s="7"/>
      <c r="S250" s="7"/>
      <c r="T250" s="7"/>
      <c r="U250" s="7"/>
      <c r="V250" s="7"/>
      <c r="W250" s="7"/>
      <c r="X250" s="140"/>
      <c r="Y250" s="7"/>
      <c r="Z250" s="140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</row>
    <row r="251" spans="5:40" ht="14.4" x14ac:dyDescent="0.3"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31"/>
      <c r="Q251" s="7"/>
      <c r="R251" s="7"/>
      <c r="S251" s="7"/>
      <c r="T251" s="7"/>
      <c r="U251" s="7"/>
      <c r="V251" s="7"/>
      <c r="W251" s="7"/>
      <c r="X251" s="140"/>
      <c r="Y251" s="7"/>
      <c r="Z251" s="140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</row>
    <row r="252" spans="5:40" ht="14.4" x14ac:dyDescent="0.3"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31"/>
      <c r="Q252" s="7"/>
      <c r="R252" s="7"/>
      <c r="S252" s="7"/>
      <c r="T252" s="7"/>
      <c r="U252" s="7"/>
      <c r="V252" s="7"/>
      <c r="W252" s="7"/>
      <c r="X252" s="140"/>
      <c r="Y252" s="7"/>
      <c r="Z252" s="140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</row>
    <row r="253" spans="5:40" ht="14.4" x14ac:dyDescent="0.3"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31"/>
      <c r="Q253" s="7"/>
      <c r="R253" s="7"/>
      <c r="S253" s="7"/>
      <c r="T253" s="7"/>
      <c r="U253" s="7"/>
      <c r="V253" s="7"/>
      <c r="W253" s="7"/>
      <c r="X253" s="140"/>
      <c r="Y253" s="7"/>
      <c r="Z253" s="140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</row>
    <row r="254" spans="5:40" ht="14.4" x14ac:dyDescent="0.3"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31"/>
      <c r="Q254" s="7"/>
      <c r="R254" s="7"/>
      <c r="S254" s="7"/>
      <c r="T254" s="7"/>
      <c r="U254" s="7"/>
      <c r="V254" s="7"/>
      <c r="W254" s="7"/>
      <c r="X254" s="140"/>
      <c r="Y254" s="7"/>
      <c r="Z254" s="140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</row>
    <row r="255" spans="5:40" ht="14.4" x14ac:dyDescent="0.3"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31"/>
      <c r="Q255" s="7"/>
      <c r="R255" s="7"/>
      <c r="S255" s="7"/>
      <c r="T255" s="7"/>
      <c r="U255" s="7"/>
      <c r="V255" s="7"/>
      <c r="W255" s="7"/>
      <c r="X255" s="140"/>
      <c r="Y255" s="7"/>
      <c r="Z255" s="140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</row>
    <row r="256" spans="5:40" ht="14.4" x14ac:dyDescent="0.3"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31"/>
      <c r="Q256" s="7"/>
      <c r="R256" s="7"/>
      <c r="S256" s="7"/>
      <c r="T256" s="7"/>
      <c r="U256" s="7"/>
      <c r="V256" s="7"/>
      <c r="W256" s="7"/>
      <c r="X256" s="140"/>
      <c r="Y256" s="7"/>
      <c r="Z256" s="140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</row>
    <row r="257" spans="5:40" ht="14.4" x14ac:dyDescent="0.3"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31"/>
      <c r="Q257" s="7"/>
      <c r="R257" s="7"/>
      <c r="S257" s="7"/>
      <c r="T257" s="7"/>
      <c r="U257" s="7"/>
      <c r="V257" s="7"/>
      <c r="W257" s="7"/>
      <c r="X257" s="140"/>
      <c r="Y257" s="7"/>
      <c r="Z257" s="140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</row>
    <row r="258" spans="5:40" ht="14.4" x14ac:dyDescent="0.3"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31"/>
      <c r="Q258" s="7"/>
      <c r="R258" s="7"/>
      <c r="S258" s="7"/>
      <c r="T258" s="7"/>
      <c r="U258" s="7"/>
      <c r="V258" s="7"/>
      <c r="W258" s="7"/>
      <c r="X258" s="140"/>
      <c r="Y258" s="7"/>
      <c r="Z258" s="140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</row>
    <row r="259" spans="5:40" ht="14.4" x14ac:dyDescent="0.3"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31"/>
      <c r="Q259" s="7"/>
      <c r="R259" s="7"/>
      <c r="S259" s="7"/>
      <c r="T259" s="7"/>
      <c r="U259" s="7"/>
      <c r="V259" s="7"/>
      <c r="W259" s="7"/>
      <c r="X259" s="140"/>
      <c r="Y259" s="7"/>
      <c r="Z259" s="140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</row>
    <row r="260" spans="5:40" ht="14.4" x14ac:dyDescent="0.3"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31"/>
      <c r="Q260" s="7"/>
      <c r="R260" s="7"/>
      <c r="S260" s="7"/>
      <c r="T260" s="7"/>
      <c r="U260" s="7"/>
      <c r="V260" s="7"/>
      <c r="W260" s="7"/>
      <c r="X260" s="140"/>
      <c r="Y260" s="7"/>
      <c r="Z260" s="140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</row>
    <row r="261" spans="5:40" ht="14.4" x14ac:dyDescent="0.3"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31"/>
      <c r="Q261" s="7"/>
      <c r="R261" s="7"/>
      <c r="S261" s="7"/>
      <c r="T261" s="7"/>
      <c r="U261" s="7"/>
      <c r="V261" s="7"/>
      <c r="W261" s="7"/>
      <c r="X261" s="140"/>
      <c r="Y261" s="7"/>
      <c r="Z261" s="140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</row>
    <row r="262" spans="5:40" ht="14.4" x14ac:dyDescent="0.3"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31"/>
      <c r="Q262" s="7"/>
      <c r="R262" s="7"/>
      <c r="S262" s="7"/>
      <c r="T262" s="7"/>
      <c r="U262" s="7"/>
      <c r="V262" s="7"/>
      <c r="W262" s="7"/>
      <c r="X262" s="140"/>
      <c r="Y262" s="7"/>
      <c r="Z262" s="140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</row>
    <row r="263" spans="5:40" ht="14.4" x14ac:dyDescent="0.3"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31"/>
      <c r="Q263" s="7"/>
      <c r="R263" s="7"/>
      <c r="S263" s="7"/>
      <c r="T263" s="7"/>
      <c r="U263" s="7"/>
      <c r="V263" s="7"/>
      <c r="W263" s="7"/>
      <c r="X263" s="140"/>
      <c r="Y263" s="7"/>
      <c r="Z263" s="140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</row>
    <row r="264" spans="5:40" ht="14.4" x14ac:dyDescent="0.3"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31"/>
      <c r="Q264" s="7"/>
      <c r="R264" s="7"/>
      <c r="S264" s="7"/>
      <c r="T264" s="7"/>
      <c r="U264" s="7"/>
      <c r="V264" s="7"/>
      <c r="W264" s="7"/>
      <c r="X264" s="140"/>
      <c r="Y264" s="7"/>
      <c r="Z264" s="140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</row>
    <row r="265" spans="5:40" ht="14.4" x14ac:dyDescent="0.3"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31"/>
      <c r="Q265" s="7"/>
      <c r="R265" s="7"/>
      <c r="S265" s="7"/>
      <c r="T265" s="7"/>
      <c r="U265" s="7"/>
      <c r="V265" s="7"/>
      <c r="W265" s="7"/>
      <c r="X265" s="140"/>
      <c r="Y265" s="7"/>
      <c r="Z265" s="140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</row>
    <row r="266" spans="5:40" ht="14.4" x14ac:dyDescent="0.3"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31"/>
      <c r="Q266" s="7"/>
      <c r="R266" s="7"/>
      <c r="S266" s="7"/>
      <c r="T266" s="7"/>
      <c r="U266" s="7"/>
      <c r="V266" s="7"/>
      <c r="W266" s="7"/>
      <c r="X266" s="140"/>
      <c r="Y266" s="7"/>
      <c r="Z266" s="140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</row>
    <row r="267" spans="5:40" ht="14.4" x14ac:dyDescent="0.3"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31"/>
      <c r="Q267" s="7"/>
      <c r="R267" s="7"/>
      <c r="S267" s="7"/>
      <c r="T267" s="7"/>
      <c r="U267" s="7"/>
      <c r="V267" s="7"/>
      <c r="W267" s="7"/>
      <c r="X267" s="140"/>
      <c r="Y267" s="7"/>
      <c r="Z267" s="140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</row>
    <row r="268" spans="5:40" ht="14.4" x14ac:dyDescent="0.3"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31"/>
      <c r="Q268" s="7"/>
      <c r="R268" s="7"/>
      <c r="S268" s="7"/>
      <c r="T268" s="7"/>
      <c r="U268" s="7"/>
      <c r="V268" s="7"/>
      <c r="W268" s="7"/>
      <c r="X268" s="140"/>
      <c r="Y268" s="7"/>
      <c r="Z268" s="140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</row>
    <row r="269" spans="5:40" ht="14.4" x14ac:dyDescent="0.3"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31"/>
      <c r="Q269" s="7"/>
      <c r="R269" s="7"/>
      <c r="S269" s="7"/>
      <c r="T269" s="7"/>
      <c r="U269" s="7"/>
      <c r="V269" s="7"/>
      <c r="W269" s="7"/>
      <c r="X269" s="140"/>
      <c r="Y269" s="7"/>
      <c r="Z269" s="140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</row>
    <row r="270" spans="5:40" ht="14.4" x14ac:dyDescent="0.3"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31"/>
      <c r="Q270" s="7"/>
      <c r="R270" s="7"/>
      <c r="S270" s="7"/>
      <c r="T270" s="7"/>
      <c r="U270" s="7"/>
      <c r="V270" s="7"/>
      <c r="W270" s="7"/>
      <c r="X270" s="140"/>
      <c r="Y270" s="7"/>
      <c r="Z270" s="140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</row>
    <row r="271" spans="5:40" ht="14.4" x14ac:dyDescent="0.3"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31"/>
      <c r="Q271" s="7"/>
      <c r="R271" s="7"/>
      <c r="S271" s="7"/>
      <c r="T271" s="7"/>
      <c r="U271" s="7"/>
      <c r="V271" s="7"/>
      <c r="W271" s="7"/>
      <c r="X271" s="140"/>
      <c r="Y271" s="7"/>
      <c r="Z271" s="140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</row>
    <row r="272" spans="5:40" ht="14.4" x14ac:dyDescent="0.3"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31"/>
      <c r="Q272" s="7"/>
      <c r="R272" s="7"/>
      <c r="S272" s="7"/>
      <c r="T272" s="7"/>
      <c r="U272" s="7"/>
      <c r="V272" s="7"/>
      <c r="W272" s="7"/>
      <c r="X272" s="140"/>
      <c r="Y272" s="7"/>
      <c r="Z272" s="140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</row>
    <row r="273" spans="5:40" ht="14.4" x14ac:dyDescent="0.3"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31"/>
      <c r="Q273" s="7"/>
      <c r="R273" s="7"/>
      <c r="S273" s="7"/>
      <c r="T273" s="7"/>
      <c r="U273" s="7"/>
      <c r="V273" s="7"/>
      <c r="W273" s="7"/>
      <c r="X273" s="140"/>
      <c r="Y273" s="7"/>
      <c r="Z273" s="140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</row>
    <row r="274" spans="5:40" ht="14.4" x14ac:dyDescent="0.3"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31"/>
      <c r="Q274" s="7"/>
      <c r="R274" s="7"/>
      <c r="S274" s="7"/>
      <c r="T274" s="7"/>
      <c r="U274" s="7"/>
      <c r="V274" s="7"/>
      <c r="W274" s="7"/>
      <c r="X274" s="140"/>
      <c r="Y274" s="7"/>
      <c r="Z274" s="140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</row>
    <row r="275" spans="5:40" ht="14.4" x14ac:dyDescent="0.3"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31"/>
      <c r="Q275" s="7"/>
      <c r="R275" s="7"/>
      <c r="S275" s="7"/>
      <c r="T275" s="7"/>
      <c r="U275" s="7"/>
      <c r="V275" s="7"/>
      <c r="W275" s="7"/>
      <c r="X275" s="140"/>
      <c r="Y275" s="7"/>
      <c r="Z275" s="140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</row>
    <row r="276" spans="5:40" ht="14.4" x14ac:dyDescent="0.3"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31"/>
      <c r="Q276" s="7"/>
      <c r="R276" s="7"/>
      <c r="S276" s="7"/>
      <c r="T276" s="7"/>
      <c r="U276" s="7"/>
      <c r="V276" s="7"/>
      <c r="W276" s="7"/>
      <c r="X276" s="140"/>
      <c r="Y276" s="7"/>
      <c r="Z276" s="140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</row>
    <row r="277" spans="5:40" ht="14.4" x14ac:dyDescent="0.3"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31"/>
      <c r="Q277" s="7"/>
      <c r="R277" s="7"/>
      <c r="S277" s="7"/>
      <c r="T277" s="7"/>
      <c r="U277" s="7"/>
      <c r="V277" s="7"/>
      <c r="W277" s="7"/>
      <c r="X277" s="140"/>
      <c r="Y277" s="7"/>
      <c r="Z277" s="140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</row>
    <row r="278" spans="5:40" ht="14.4" x14ac:dyDescent="0.3"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31"/>
      <c r="Q278" s="7"/>
      <c r="R278" s="7"/>
      <c r="S278" s="7"/>
      <c r="T278" s="7"/>
      <c r="U278" s="7"/>
      <c r="V278" s="7"/>
      <c r="W278" s="7"/>
      <c r="X278" s="140"/>
      <c r="Y278" s="7"/>
      <c r="Z278" s="140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</row>
    <row r="279" spans="5:40" ht="14.4" x14ac:dyDescent="0.3"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31"/>
      <c r="Q279" s="7"/>
      <c r="R279" s="7"/>
      <c r="S279" s="7"/>
      <c r="T279" s="7"/>
      <c r="U279" s="7"/>
      <c r="V279" s="7"/>
      <c r="W279" s="7"/>
      <c r="X279" s="140"/>
      <c r="Y279" s="7"/>
      <c r="Z279" s="140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</row>
    <row r="280" spans="5:40" ht="14.4" x14ac:dyDescent="0.3"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31"/>
      <c r="Q280" s="7"/>
      <c r="R280" s="7"/>
      <c r="S280" s="7"/>
      <c r="T280" s="7"/>
      <c r="U280" s="7"/>
      <c r="V280" s="7"/>
      <c r="W280" s="7"/>
      <c r="X280" s="140"/>
      <c r="Y280" s="7"/>
      <c r="Z280" s="140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</row>
    <row r="281" spans="5:40" ht="14.4" x14ac:dyDescent="0.3"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31"/>
      <c r="Q281" s="7"/>
      <c r="R281" s="7"/>
      <c r="S281" s="7"/>
      <c r="T281" s="7"/>
      <c r="U281" s="7"/>
      <c r="V281" s="7"/>
      <c r="W281" s="7"/>
      <c r="X281" s="140"/>
      <c r="Y281" s="7"/>
      <c r="Z281" s="140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</row>
    <row r="282" spans="5:40" ht="14.4" x14ac:dyDescent="0.3"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31"/>
      <c r="Q282" s="7"/>
      <c r="R282" s="7"/>
      <c r="S282" s="7"/>
      <c r="T282" s="7"/>
      <c r="U282" s="7"/>
      <c r="V282" s="7"/>
      <c r="W282" s="7"/>
      <c r="X282" s="140"/>
      <c r="Y282" s="7"/>
      <c r="Z282" s="140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</row>
    <row r="283" spans="5:40" ht="14.4" x14ac:dyDescent="0.3"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31"/>
      <c r="Q283" s="7"/>
      <c r="R283" s="7"/>
      <c r="S283" s="7"/>
      <c r="T283" s="7"/>
      <c r="U283" s="7"/>
      <c r="V283" s="7"/>
      <c r="W283" s="7"/>
      <c r="X283" s="140"/>
      <c r="Y283" s="7"/>
      <c r="Z283" s="140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</row>
    <row r="284" spans="5:40" ht="14.4" x14ac:dyDescent="0.3"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31"/>
      <c r="Q284" s="7"/>
      <c r="R284" s="7"/>
      <c r="S284" s="7"/>
      <c r="T284" s="7"/>
      <c r="U284" s="7"/>
      <c r="V284" s="7"/>
      <c r="W284" s="7"/>
      <c r="X284" s="140"/>
      <c r="Y284" s="7"/>
      <c r="Z284" s="140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</row>
    <row r="285" spans="5:40" ht="14.4" x14ac:dyDescent="0.3"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31"/>
      <c r="Q285" s="7"/>
      <c r="R285" s="7"/>
      <c r="S285" s="7"/>
      <c r="T285" s="7"/>
      <c r="U285" s="7"/>
      <c r="V285" s="7"/>
      <c r="W285" s="7"/>
      <c r="X285" s="140"/>
      <c r="Y285" s="7"/>
      <c r="Z285" s="140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</row>
    <row r="286" spans="5:40" ht="14.4" x14ac:dyDescent="0.3"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31"/>
      <c r="Q286" s="7"/>
      <c r="R286" s="7"/>
      <c r="S286" s="7"/>
      <c r="T286" s="7"/>
      <c r="U286" s="7"/>
      <c r="V286" s="7"/>
      <c r="W286" s="7"/>
      <c r="X286" s="140"/>
      <c r="Y286" s="7"/>
      <c r="Z286" s="140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</row>
    <row r="287" spans="5:40" ht="14.4" x14ac:dyDescent="0.3"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31"/>
      <c r="Q287" s="7"/>
      <c r="R287" s="7"/>
      <c r="S287" s="7"/>
      <c r="T287" s="7"/>
      <c r="U287" s="7"/>
      <c r="V287" s="7"/>
      <c r="W287" s="7"/>
      <c r="X287" s="140"/>
      <c r="Y287" s="7"/>
      <c r="Z287" s="140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</row>
    <row r="288" spans="5:40" ht="14.4" x14ac:dyDescent="0.3"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31"/>
      <c r="Q288" s="7"/>
      <c r="R288" s="7"/>
      <c r="S288" s="7"/>
      <c r="T288" s="7"/>
      <c r="U288" s="7"/>
      <c r="V288" s="7"/>
      <c r="W288" s="7"/>
      <c r="X288" s="140"/>
      <c r="Y288" s="7"/>
      <c r="Z288" s="140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</row>
    <row r="289" spans="5:40" ht="14.4" x14ac:dyDescent="0.3"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31"/>
      <c r="Q289" s="7"/>
      <c r="R289" s="7"/>
      <c r="S289" s="7"/>
      <c r="T289" s="7"/>
      <c r="U289" s="7"/>
      <c r="V289" s="7"/>
      <c r="W289" s="7"/>
      <c r="X289" s="140"/>
      <c r="Y289" s="7"/>
      <c r="Z289" s="140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</row>
    <row r="290" spans="5:40" ht="14.4" x14ac:dyDescent="0.3"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31"/>
      <c r="Q290" s="7"/>
      <c r="R290" s="7"/>
      <c r="S290" s="7"/>
      <c r="T290" s="7"/>
      <c r="U290" s="7"/>
      <c r="V290" s="7"/>
      <c r="W290" s="7"/>
      <c r="X290" s="140"/>
      <c r="Y290" s="7"/>
      <c r="Z290" s="140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</row>
    <row r="291" spans="5:40" ht="14.4" x14ac:dyDescent="0.3"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31"/>
      <c r="Q291" s="7"/>
      <c r="R291" s="7"/>
      <c r="S291" s="7"/>
      <c r="T291" s="7"/>
      <c r="U291" s="7"/>
      <c r="V291" s="7"/>
      <c r="W291" s="7"/>
      <c r="X291" s="140"/>
      <c r="Y291" s="7"/>
      <c r="Z291" s="140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</row>
    <row r="292" spans="5:40" ht="14.4" x14ac:dyDescent="0.3"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31"/>
      <c r="Q292" s="7"/>
      <c r="R292" s="7"/>
      <c r="S292" s="7"/>
      <c r="T292" s="7"/>
      <c r="U292" s="7"/>
      <c r="V292" s="7"/>
      <c r="W292" s="7"/>
      <c r="X292" s="140"/>
      <c r="Y292" s="7"/>
      <c r="Z292" s="140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</row>
    <row r="293" spans="5:40" ht="14.4" x14ac:dyDescent="0.3"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31"/>
      <c r="Q293" s="7"/>
      <c r="R293" s="7"/>
      <c r="S293" s="7"/>
      <c r="T293" s="7"/>
      <c r="U293" s="7"/>
      <c r="V293" s="7"/>
      <c r="W293" s="7"/>
      <c r="X293" s="140"/>
      <c r="Y293" s="7"/>
      <c r="Z293" s="140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</row>
    <row r="294" spans="5:40" ht="14.4" x14ac:dyDescent="0.3"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31"/>
      <c r="Q294" s="7"/>
      <c r="R294" s="7"/>
      <c r="S294" s="7"/>
      <c r="T294" s="7"/>
      <c r="U294" s="7"/>
      <c r="V294" s="7"/>
      <c r="W294" s="7"/>
      <c r="X294" s="140"/>
      <c r="Y294" s="7"/>
      <c r="Z294" s="140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</row>
    <row r="295" spans="5:40" ht="14.4" x14ac:dyDescent="0.3"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31"/>
      <c r="Q295" s="7"/>
      <c r="R295" s="7"/>
      <c r="S295" s="7"/>
      <c r="T295" s="7"/>
      <c r="U295" s="7"/>
      <c r="V295" s="7"/>
      <c r="W295" s="7"/>
      <c r="X295" s="140"/>
      <c r="Y295" s="7"/>
      <c r="Z295" s="140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</row>
    <row r="296" spans="5:40" ht="14.4" x14ac:dyDescent="0.3"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31"/>
      <c r="Q296" s="7"/>
      <c r="R296" s="7"/>
      <c r="S296" s="7"/>
      <c r="T296" s="7"/>
      <c r="U296" s="7"/>
      <c r="V296" s="7"/>
      <c r="W296" s="7"/>
      <c r="X296" s="140"/>
      <c r="Y296" s="7"/>
      <c r="Z296" s="140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</row>
    <row r="297" spans="5:40" ht="14.4" x14ac:dyDescent="0.3"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31"/>
      <c r="Q297" s="7"/>
      <c r="R297" s="7"/>
      <c r="S297" s="7"/>
      <c r="T297" s="7"/>
      <c r="U297" s="7"/>
      <c r="V297" s="7"/>
      <c r="W297" s="7"/>
      <c r="X297" s="140"/>
      <c r="Y297" s="7"/>
      <c r="Z297" s="140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</row>
    <row r="298" spans="5:40" ht="14.4" x14ac:dyDescent="0.3"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31"/>
      <c r="Q298" s="7"/>
      <c r="R298" s="7"/>
      <c r="S298" s="7"/>
      <c r="T298" s="7"/>
      <c r="U298" s="7"/>
      <c r="V298" s="7"/>
      <c r="W298" s="7"/>
      <c r="X298" s="140"/>
      <c r="Y298" s="7"/>
      <c r="Z298" s="140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</row>
    <row r="299" spans="5:40" ht="14.4" x14ac:dyDescent="0.3"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31"/>
      <c r="Q299" s="7"/>
      <c r="R299" s="7"/>
      <c r="S299" s="7"/>
      <c r="T299" s="7"/>
      <c r="U299" s="7"/>
      <c r="V299" s="7"/>
      <c r="W299" s="7"/>
      <c r="X299" s="140"/>
      <c r="Y299" s="7"/>
      <c r="Z299" s="140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</row>
    <row r="300" spans="5:40" ht="14.4" x14ac:dyDescent="0.3"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31"/>
      <c r="Q300" s="7"/>
      <c r="R300" s="7"/>
      <c r="S300" s="7"/>
      <c r="T300" s="7"/>
      <c r="U300" s="7"/>
      <c r="V300" s="7"/>
      <c r="W300" s="7"/>
      <c r="X300" s="140"/>
      <c r="Y300" s="7"/>
      <c r="Z300" s="140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</row>
    <row r="301" spans="5:40" ht="14.4" x14ac:dyDescent="0.3"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31"/>
      <c r="Q301" s="7"/>
      <c r="R301" s="7"/>
      <c r="S301" s="7"/>
      <c r="T301" s="7"/>
      <c r="U301" s="7"/>
      <c r="V301" s="7"/>
      <c r="W301" s="7"/>
      <c r="X301" s="140"/>
      <c r="Y301" s="7"/>
      <c r="Z301" s="140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</row>
    <row r="302" spans="5:40" ht="14.4" x14ac:dyDescent="0.3"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31"/>
      <c r="Q302" s="7"/>
      <c r="R302" s="7"/>
      <c r="S302" s="7"/>
      <c r="T302" s="7"/>
      <c r="U302" s="7"/>
      <c r="V302" s="7"/>
      <c r="W302" s="7"/>
      <c r="X302" s="140"/>
      <c r="Y302" s="7"/>
      <c r="Z302" s="140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</row>
    <row r="303" spans="5:40" ht="14.4" x14ac:dyDescent="0.3"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31"/>
      <c r="Q303" s="7"/>
      <c r="R303" s="7"/>
      <c r="S303" s="7"/>
      <c r="T303" s="7"/>
      <c r="U303" s="7"/>
      <c r="V303" s="7"/>
      <c r="W303" s="7"/>
      <c r="X303" s="140"/>
      <c r="Y303" s="7"/>
      <c r="Z303" s="140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</row>
    <row r="304" spans="5:40" ht="14.4" x14ac:dyDescent="0.3"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31"/>
      <c r="Q304" s="7"/>
      <c r="R304" s="7"/>
      <c r="S304" s="7"/>
      <c r="T304" s="7"/>
      <c r="U304" s="7"/>
      <c r="V304" s="7"/>
      <c r="W304" s="7"/>
      <c r="X304" s="140"/>
      <c r="Y304" s="7"/>
      <c r="Z304" s="140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</row>
    <row r="305" spans="5:40" ht="14.4" x14ac:dyDescent="0.3"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31"/>
      <c r="Q305" s="7"/>
      <c r="R305" s="7"/>
      <c r="S305" s="7"/>
      <c r="T305" s="7"/>
      <c r="U305" s="7"/>
      <c r="V305" s="7"/>
      <c r="W305" s="7"/>
      <c r="X305" s="140"/>
      <c r="Y305" s="7"/>
      <c r="Z305" s="140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</row>
    <row r="306" spans="5:40" ht="14.4" x14ac:dyDescent="0.3"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31"/>
      <c r="Q306" s="7"/>
      <c r="R306" s="7"/>
      <c r="S306" s="7"/>
      <c r="T306" s="7"/>
      <c r="U306" s="7"/>
      <c r="V306" s="7"/>
      <c r="W306" s="7"/>
      <c r="X306" s="140"/>
      <c r="Y306" s="7"/>
      <c r="Z306" s="140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</row>
    <row r="307" spans="5:40" ht="14.4" x14ac:dyDescent="0.3"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31"/>
      <c r="Q307" s="7"/>
      <c r="R307" s="7"/>
      <c r="S307" s="7"/>
      <c r="T307" s="7"/>
      <c r="U307" s="7"/>
      <c r="V307" s="7"/>
      <c r="W307" s="7"/>
      <c r="X307" s="140"/>
      <c r="Y307" s="7"/>
      <c r="Z307" s="140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</row>
    <row r="308" spans="5:40" ht="14.4" x14ac:dyDescent="0.3"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31"/>
      <c r="Q308" s="7"/>
      <c r="R308" s="7"/>
      <c r="S308" s="7"/>
      <c r="T308" s="7"/>
      <c r="U308" s="7"/>
      <c r="V308" s="7"/>
      <c r="W308" s="7"/>
      <c r="X308" s="140"/>
      <c r="Y308" s="7"/>
      <c r="Z308" s="140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</row>
    <row r="309" spans="5:40" ht="14.4" x14ac:dyDescent="0.3"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31"/>
      <c r="Q309" s="7"/>
      <c r="R309" s="7"/>
      <c r="S309" s="7"/>
      <c r="T309" s="7"/>
      <c r="U309" s="7"/>
      <c r="V309" s="7"/>
      <c r="W309" s="7"/>
      <c r="X309" s="140"/>
      <c r="Y309" s="7"/>
      <c r="Z309" s="140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</row>
    <row r="310" spans="5:40" ht="14.4" x14ac:dyDescent="0.3"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31"/>
      <c r="Q310" s="7"/>
      <c r="R310" s="7"/>
      <c r="S310" s="7"/>
      <c r="T310" s="7"/>
      <c r="U310" s="7"/>
      <c r="V310" s="7"/>
      <c r="W310" s="7"/>
      <c r="X310" s="140"/>
      <c r="Y310" s="7"/>
      <c r="Z310" s="140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</row>
    <row r="311" spans="5:40" ht="14.4" x14ac:dyDescent="0.3"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31"/>
      <c r="Q311" s="7"/>
      <c r="R311" s="7"/>
      <c r="S311" s="7"/>
      <c r="T311" s="7"/>
      <c r="U311" s="7"/>
      <c r="V311" s="7"/>
      <c r="W311" s="7"/>
      <c r="X311" s="140"/>
      <c r="Y311" s="7"/>
      <c r="Z311" s="140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</row>
    <row r="312" spans="5:40" ht="14.4" x14ac:dyDescent="0.3"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31"/>
      <c r="Q312" s="7"/>
      <c r="R312" s="7"/>
      <c r="S312" s="7"/>
      <c r="T312" s="7"/>
      <c r="U312" s="7"/>
      <c r="V312" s="7"/>
      <c r="W312" s="7"/>
      <c r="X312" s="140"/>
      <c r="Y312" s="7"/>
      <c r="Z312" s="140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</row>
    <row r="313" spans="5:40" ht="14.4" x14ac:dyDescent="0.3"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31"/>
      <c r="Q313" s="7"/>
      <c r="R313" s="7"/>
      <c r="S313" s="7"/>
      <c r="T313" s="7"/>
      <c r="U313" s="7"/>
      <c r="V313" s="7"/>
      <c r="W313" s="7"/>
      <c r="X313" s="140"/>
      <c r="Y313" s="7"/>
      <c r="Z313" s="140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</row>
    <row r="314" spans="5:40" ht="14.4" x14ac:dyDescent="0.3"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31"/>
      <c r="Q314" s="7"/>
      <c r="R314" s="7"/>
      <c r="S314" s="7"/>
      <c r="T314" s="7"/>
      <c r="U314" s="7"/>
      <c r="V314" s="7"/>
      <c r="W314" s="7"/>
      <c r="X314" s="140"/>
      <c r="Y314" s="7"/>
      <c r="Z314" s="140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</row>
    <row r="315" spans="5:40" ht="14.4" x14ac:dyDescent="0.3"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31"/>
      <c r="Q315" s="7"/>
      <c r="R315" s="7"/>
      <c r="S315" s="7"/>
      <c r="T315" s="7"/>
      <c r="U315" s="7"/>
      <c r="V315" s="7"/>
      <c r="W315" s="7"/>
      <c r="X315" s="140"/>
      <c r="Y315" s="7"/>
      <c r="Z315" s="140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</row>
    <row r="316" spans="5:40" ht="14.4" x14ac:dyDescent="0.3"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31"/>
      <c r="Q316" s="7"/>
      <c r="R316" s="7"/>
      <c r="S316" s="7"/>
      <c r="T316" s="7"/>
      <c r="U316" s="7"/>
      <c r="V316" s="7"/>
      <c r="W316" s="7"/>
      <c r="X316" s="140"/>
      <c r="Y316" s="7"/>
      <c r="Z316" s="140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</row>
    <row r="317" spans="5:40" ht="14.4" x14ac:dyDescent="0.3"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31"/>
      <c r="Q317" s="7"/>
      <c r="R317" s="7"/>
      <c r="S317" s="7"/>
      <c r="T317" s="7"/>
      <c r="U317" s="7"/>
      <c r="V317" s="7"/>
      <c r="W317" s="7"/>
      <c r="X317" s="140"/>
      <c r="Y317" s="7"/>
      <c r="Z317" s="140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</row>
    <row r="318" spans="5:40" ht="14.4" x14ac:dyDescent="0.3"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31"/>
      <c r="Q318" s="7"/>
      <c r="R318" s="7"/>
      <c r="S318" s="7"/>
      <c r="T318" s="7"/>
      <c r="U318" s="7"/>
      <c r="V318" s="7"/>
      <c r="W318" s="7"/>
      <c r="X318" s="140"/>
      <c r="Y318" s="7"/>
      <c r="Z318" s="140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</row>
    <row r="319" spans="5:40" ht="14.4" x14ac:dyDescent="0.3"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31"/>
      <c r="Q319" s="7"/>
      <c r="R319" s="7"/>
      <c r="S319" s="7"/>
      <c r="T319" s="7"/>
      <c r="U319" s="7"/>
      <c r="V319" s="7"/>
      <c r="W319" s="7"/>
      <c r="X319" s="140"/>
      <c r="Y319" s="7"/>
      <c r="Z319" s="140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</row>
    <row r="320" spans="5:40" ht="14.4" x14ac:dyDescent="0.3"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31"/>
      <c r="Q320" s="7"/>
      <c r="R320" s="7"/>
      <c r="S320" s="7"/>
      <c r="T320" s="7"/>
      <c r="U320" s="7"/>
      <c r="V320" s="7"/>
      <c r="W320" s="7"/>
      <c r="X320" s="140"/>
      <c r="Y320" s="7"/>
      <c r="Z320" s="140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</row>
    <row r="321" spans="5:40" ht="14.4" x14ac:dyDescent="0.3"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31"/>
      <c r="Q321" s="7"/>
      <c r="R321" s="7"/>
      <c r="S321" s="7"/>
      <c r="T321" s="7"/>
      <c r="U321" s="7"/>
      <c r="V321" s="7"/>
      <c r="W321" s="7"/>
      <c r="X321" s="140"/>
      <c r="Y321" s="7"/>
      <c r="Z321" s="140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</row>
    <row r="322" spans="5:40" ht="14.4" x14ac:dyDescent="0.3"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31"/>
      <c r="Q322" s="7"/>
      <c r="R322" s="7"/>
      <c r="S322" s="7"/>
      <c r="T322" s="7"/>
      <c r="U322" s="7"/>
      <c r="V322" s="7"/>
      <c r="W322" s="7"/>
      <c r="X322" s="140"/>
      <c r="Y322" s="7"/>
      <c r="Z322" s="140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</row>
    <row r="323" spans="5:40" ht="14.4" x14ac:dyDescent="0.3"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31"/>
      <c r="Q323" s="7"/>
      <c r="R323" s="7"/>
      <c r="S323" s="7"/>
      <c r="T323" s="7"/>
      <c r="U323" s="7"/>
      <c r="V323" s="7"/>
      <c r="W323" s="7"/>
      <c r="X323" s="140"/>
      <c r="Y323" s="7"/>
      <c r="Z323" s="140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</row>
    <row r="324" spans="5:40" ht="14.4" x14ac:dyDescent="0.3"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31"/>
      <c r="Q324" s="7"/>
      <c r="R324" s="7"/>
      <c r="S324" s="7"/>
      <c r="T324" s="7"/>
      <c r="U324" s="7"/>
      <c r="V324" s="7"/>
      <c r="W324" s="7"/>
      <c r="X324" s="140"/>
      <c r="Y324" s="7"/>
      <c r="Z324" s="140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</row>
    <row r="325" spans="5:40" ht="14.4" x14ac:dyDescent="0.3"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31"/>
      <c r="Q325" s="7"/>
      <c r="R325" s="7"/>
      <c r="S325" s="7"/>
      <c r="T325" s="7"/>
      <c r="U325" s="7"/>
      <c r="V325" s="7"/>
      <c r="W325" s="7"/>
      <c r="X325" s="140"/>
      <c r="Y325" s="7"/>
      <c r="Z325" s="140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</row>
    <row r="326" spans="5:40" ht="14.4" x14ac:dyDescent="0.3"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31"/>
      <c r="Q326" s="7"/>
      <c r="R326" s="7"/>
      <c r="S326" s="7"/>
      <c r="T326" s="7"/>
      <c r="U326" s="7"/>
      <c r="V326" s="7"/>
      <c r="W326" s="7"/>
      <c r="X326" s="140"/>
      <c r="Y326" s="7"/>
      <c r="Z326" s="140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</row>
    <row r="327" spans="5:40" ht="14.4" x14ac:dyDescent="0.3"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31"/>
      <c r="Q327" s="7"/>
      <c r="R327" s="7"/>
      <c r="S327" s="7"/>
      <c r="T327" s="7"/>
      <c r="U327" s="7"/>
      <c r="V327" s="7"/>
      <c r="W327" s="7"/>
      <c r="X327" s="140"/>
      <c r="Y327" s="7"/>
      <c r="Z327" s="140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</row>
    <row r="328" spans="5:40" ht="14.4" x14ac:dyDescent="0.3"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31"/>
      <c r="Q328" s="7"/>
      <c r="R328" s="7"/>
      <c r="S328" s="7"/>
      <c r="T328" s="7"/>
      <c r="U328" s="7"/>
      <c r="V328" s="7"/>
      <c r="W328" s="7"/>
      <c r="X328" s="140"/>
      <c r="Y328" s="7"/>
      <c r="Z328" s="140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</row>
    <row r="329" spans="5:40" ht="14.4" x14ac:dyDescent="0.3"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31"/>
      <c r="Q329" s="7"/>
      <c r="R329" s="7"/>
      <c r="S329" s="7"/>
      <c r="T329" s="7"/>
      <c r="U329" s="7"/>
      <c r="V329" s="7"/>
      <c r="W329" s="7"/>
      <c r="X329" s="140"/>
      <c r="Y329" s="7"/>
      <c r="Z329" s="140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</row>
    <row r="330" spans="5:40" ht="14.4" x14ac:dyDescent="0.3"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31"/>
      <c r="Q330" s="7"/>
      <c r="R330" s="7"/>
      <c r="S330" s="7"/>
      <c r="T330" s="7"/>
      <c r="U330" s="7"/>
      <c r="V330" s="7"/>
      <c r="W330" s="7"/>
      <c r="X330" s="140"/>
      <c r="Y330" s="7"/>
      <c r="Z330" s="140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</row>
    <row r="331" spans="5:40" ht="14.4" x14ac:dyDescent="0.3"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31"/>
      <c r="Q331" s="7"/>
      <c r="R331" s="7"/>
      <c r="S331" s="7"/>
      <c r="T331" s="7"/>
      <c r="U331" s="7"/>
      <c r="V331" s="7"/>
      <c r="W331" s="7"/>
      <c r="X331" s="140"/>
      <c r="Y331" s="7"/>
      <c r="Z331" s="140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</row>
    <row r="332" spans="5:40" ht="14.4" x14ac:dyDescent="0.3"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31"/>
      <c r="Q332" s="7"/>
      <c r="R332" s="7"/>
      <c r="S332" s="7"/>
      <c r="T332" s="7"/>
      <c r="U332" s="7"/>
      <c r="V332" s="7"/>
      <c r="W332" s="7"/>
      <c r="X332" s="140"/>
      <c r="Y332" s="7"/>
      <c r="Z332" s="140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</row>
    <row r="333" spans="5:40" ht="14.4" x14ac:dyDescent="0.3"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31"/>
      <c r="Q333" s="7"/>
      <c r="R333" s="7"/>
      <c r="S333" s="7"/>
      <c r="T333" s="7"/>
      <c r="U333" s="7"/>
      <c r="V333" s="7"/>
      <c r="W333" s="7"/>
      <c r="X333" s="140"/>
      <c r="Y333" s="7"/>
      <c r="Z333" s="140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</row>
    <row r="334" spans="5:40" ht="14.4" x14ac:dyDescent="0.3"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31"/>
      <c r="Q334" s="7"/>
      <c r="R334" s="7"/>
      <c r="S334" s="7"/>
      <c r="T334" s="7"/>
      <c r="U334" s="7"/>
      <c r="V334" s="7"/>
      <c r="W334" s="7"/>
      <c r="X334" s="140"/>
      <c r="Y334" s="7"/>
      <c r="Z334" s="140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</row>
    <row r="335" spans="5:40" ht="14.4" x14ac:dyDescent="0.3"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31"/>
      <c r="Q335" s="7"/>
      <c r="R335" s="7"/>
      <c r="S335" s="7"/>
      <c r="T335" s="7"/>
      <c r="U335" s="7"/>
      <c r="V335" s="7"/>
      <c r="W335" s="7"/>
      <c r="X335" s="140"/>
      <c r="Y335" s="7"/>
      <c r="Z335" s="140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</row>
    <row r="336" spans="5:40" ht="14.4" x14ac:dyDescent="0.3"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31"/>
      <c r="Q336" s="7"/>
      <c r="R336" s="7"/>
      <c r="S336" s="7"/>
      <c r="T336" s="7"/>
      <c r="U336" s="7"/>
      <c r="V336" s="7"/>
      <c r="W336" s="7"/>
      <c r="X336" s="140"/>
      <c r="Y336" s="7"/>
      <c r="Z336" s="140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</row>
    <row r="337" spans="5:40" ht="14.4" x14ac:dyDescent="0.3"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31"/>
      <c r="Q337" s="7"/>
      <c r="R337" s="7"/>
      <c r="S337" s="7"/>
      <c r="T337" s="7"/>
      <c r="U337" s="7"/>
      <c r="V337" s="7"/>
      <c r="W337" s="7"/>
      <c r="X337" s="140"/>
      <c r="Y337" s="7"/>
      <c r="Z337" s="140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</row>
    <row r="338" spans="5:40" ht="14.4" x14ac:dyDescent="0.3"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31"/>
      <c r="Q338" s="7"/>
      <c r="R338" s="7"/>
      <c r="S338" s="7"/>
      <c r="T338" s="7"/>
      <c r="U338" s="7"/>
      <c r="V338" s="7"/>
      <c r="W338" s="7"/>
      <c r="X338" s="140"/>
      <c r="Y338" s="7"/>
      <c r="Z338" s="140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</row>
    <row r="339" spans="5:40" ht="14.4" x14ac:dyDescent="0.3"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31"/>
      <c r="Q339" s="7"/>
      <c r="R339" s="7"/>
      <c r="S339" s="7"/>
      <c r="T339" s="7"/>
      <c r="U339" s="7"/>
      <c r="V339" s="7"/>
      <c r="W339" s="7"/>
      <c r="X339" s="140"/>
      <c r="Y339" s="7"/>
      <c r="Z339" s="140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</row>
    <row r="340" spans="5:40" ht="14.4" x14ac:dyDescent="0.3"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31"/>
      <c r="Q340" s="7"/>
      <c r="R340" s="7"/>
      <c r="S340" s="7"/>
      <c r="T340" s="7"/>
      <c r="U340" s="7"/>
      <c r="V340" s="7"/>
      <c r="W340" s="7"/>
      <c r="X340" s="140"/>
      <c r="Y340" s="7"/>
      <c r="Z340" s="140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</row>
    <row r="341" spans="5:40" ht="14.4" x14ac:dyDescent="0.3"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31"/>
      <c r="Q341" s="7"/>
      <c r="R341" s="7"/>
      <c r="S341" s="7"/>
      <c r="T341" s="7"/>
      <c r="U341" s="7"/>
      <c r="V341" s="7"/>
      <c r="W341" s="7"/>
      <c r="X341" s="140"/>
      <c r="Y341" s="7"/>
      <c r="Z341" s="140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</row>
    <row r="342" spans="5:40" ht="14.4" x14ac:dyDescent="0.3"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31"/>
      <c r="Q342" s="7"/>
      <c r="R342" s="7"/>
      <c r="S342" s="7"/>
      <c r="T342" s="7"/>
      <c r="U342" s="7"/>
      <c r="V342" s="7"/>
      <c r="W342" s="7"/>
      <c r="X342" s="140"/>
      <c r="Y342" s="7"/>
      <c r="Z342" s="140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</row>
    <row r="343" spans="5:40" ht="14.4" x14ac:dyDescent="0.3"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31"/>
      <c r="Q343" s="7"/>
      <c r="R343" s="7"/>
      <c r="S343" s="7"/>
      <c r="T343" s="7"/>
      <c r="U343" s="7"/>
      <c r="V343" s="7"/>
      <c r="W343" s="7"/>
      <c r="X343" s="140"/>
      <c r="Y343" s="7"/>
      <c r="Z343" s="140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</row>
    <row r="344" spans="5:40" ht="14.4" x14ac:dyDescent="0.3"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31"/>
      <c r="Q344" s="7"/>
      <c r="R344" s="7"/>
      <c r="S344" s="7"/>
      <c r="T344" s="7"/>
      <c r="U344" s="7"/>
      <c r="V344" s="7"/>
      <c r="W344" s="7"/>
      <c r="X344" s="140"/>
      <c r="Y344" s="7"/>
      <c r="Z344" s="140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</row>
    <row r="345" spans="5:40" ht="14.4" x14ac:dyDescent="0.3"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31"/>
      <c r="Q345" s="7"/>
      <c r="R345" s="7"/>
      <c r="S345" s="7"/>
      <c r="T345" s="7"/>
      <c r="U345" s="7"/>
      <c r="V345" s="7"/>
      <c r="W345" s="7"/>
      <c r="X345" s="140"/>
      <c r="Y345" s="7"/>
      <c r="Z345" s="140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</row>
    <row r="346" spans="5:40" ht="14.4" x14ac:dyDescent="0.3"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31"/>
      <c r="Q346" s="7"/>
      <c r="R346" s="7"/>
      <c r="S346" s="7"/>
      <c r="T346" s="7"/>
      <c r="U346" s="7"/>
      <c r="V346" s="7"/>
      <c r="W346" s="7"/>
      <c r="X346" s="140"/>
      <c r="Y346" s="7"/>
      <c r="Z346" s="140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</row>
    <row r="347" spans="5:40" ht="14.4" x14ac:dyDescent="0.3"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31"/>
      <c r="Q347" s="7"/>
      <c r="R347" s="7"/>
      <c r="S347" s="7"/>
      <c r="T347" s="7"/>
      <c r="U347" s="7"/>
      <c r="V347" s="7"/>
      <c r="W347" s="7"/>
      <c r="X347" s="140"/>
      <c r="Y347" s="7"/>
      <c r="Z347" s="140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</row>
    <row r="348" spans="5:40" ht="14.4" x14ac:dyDescent="0.3"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31"/>
      <c r="Q348" s="7"/>
      <c r="R348" s="7"/>
      <c r="S348" s="7"/>
      <c r="T348" s="7"/>
      <c r="U348" s="7"/>
      <c r="V348" s="7"/>
      <c r="W348" s="7"/>
      <c r="X348" s="140"/>
      <c r="Y348" s="7"/>
      <c r="Z348" s="140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</row>
    <row r="349" spans="5:40" ht="14.4" x14ac:dyDescent="0.3"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31"/>
      <c r="Q349" s="7"/>
      <c r="R349" s="7"/>
      <c r="S349" s="7"/>
      <c r="T349" s="7"/>
      <c r="U349" s="7"/>
      <c r="V349" s="7"/>
      <c r="W349" s="7"/>
      <c r="X349" s="140"/>
      <c r="Y349" s="7"/>
      <c r="Z349" s="140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</row>
    <row r="350" spans="5:40" ht="14.4" x14ac:dyDescent="0.3"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31"/>
      <c r="Q350" s="7"/>
      <c r="R350" s="7"/>
      <c r="S350" s="7"/>
      <c r="T350" s="7"/>
      <c r="U350" s="7"/>
      <c r="V350" s="7"/>
      <c r="W350" s="7"/>
      <c r="X350" s="140"/>
      <c r="Y350" s="7"/>
      <c r="Z350" s="140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</row>
    <row r="351" spans="5:40" ht="14.4" x14ac:dyDescent="0.3"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31"/>
      <c r="Q351" s="7"/>
      <c r="R351" s="7"/>
      <c r="S351" s="7"/>
      <c r="T351" s="7"/>
      <c r="U351" s="7"/>
      <c r="V351" s="7"/>
      <c r="W351" s="7"/>
      <c r="X351" s="140"/>
      <c r="Y351" s="7"/>
      <c r="Z351" s="140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</row>
    <row r="352" spans="5:40" ht="14.4" x14ac:dyDescent="0.3"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31"/>
      <c r="Q352" s="7"/>
      <c r="R352" s="7"/>
      <c r="S352" s="7"/>
      <c r="T352" s="7"/>
      <c r="U352" s="7"/>
      <c r="V352" s="7"/>
      <c r="W352" s="7"/>
      <c r="X352" s="140"/>
      <c r="Y352" s="7"/>
      <c r="Z352" s="140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</row>
    <row r="353" spans="5:40" ht="14.4" x14ac:dyDescent="0.3"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31"/>
      <c r="Q353" s="7"/>
      <c r="R353" s="7"/>
      <c r="S353" s="7"/>
      <c r="T353" s="7"/>
      <c r="U353" s="7"/>
      <c r="V353" s="7"/>
      <c r="W353" s="7"/>
      <c r="X353" s="140"/>
      <c r="Y353" s="7"/>
      <c r="Z353" s="140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</row>
    <row r="354" spans="5:40" ht="14.4" x14ac:dyDescent="0.3"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31"/>
      <c r="Q354" s="7"/>
      <c r="R354" s="7"/>
      <c r="S354" s="7"/>
      <c r="T354" s="7"/>
      <c r="U354" s="7"/>
      <c r="V354" s="7"/>
      <c r="W354" s="7"/>
      <c r="X354" s="140"/>
      <c r="Y354" s="7"/>
      <c r="Z354" s="140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</row>
    <row r="355" spans="5:40" ht="14.4" x14ac:dyDescent="0.3"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31"/>
      <c r="Q355" s="7"/>
      <c r="R355" s="7"/>
      <c r="S355" s="7"/>
      <c r="T355" s="7"/>
      <c r="U355" s="7"/>
      <c r="V355" s="7"/>
      <c r="W355" s="7"/>
      <c r="X355" s="140"/>
      <c r="Y355" s="7"/>
      <c r="Z355" s="140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</row>
    <row r="356" spans="5:40" ht="14.4" x14ac:dyDescent="0.3"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31"/>
      <c r="Q356" s="7"/>
      <c r="R356" s="7"/>
      <c r="S356" s="7"/>
      <c r="T356" s="7"/>
      <c r="U356" s="7"/>
      <c r="V356" s="7"/>
      <c r="W356" s="7"/>
      <c r="X356" s="140"/>
      <c r="Y356" s="7"/>
      <c r="Z356" s="140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</row>
    <row r="357" spans="5:40" ht="14.4" x14ac:dyDescent="0.3"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31"/>
      <c r="Q357" s="7"/>
      <c r="R357" s="7"/>
      <c r="S357" s="7"/>
      <c r="T357" s="7"/>
      <c r="U357" s="7"/>
      <c r="V357" s="7"/>
      <c r="W357" s="7"/>
      <c r="X357" s="140"/>
      <c r="Y357" s="7"/>
      <c r="Z357" s="140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</row>
    <row r="358" spans="5:40" ht="14.4" x14ac:dyDescent="0.3"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31"/>
      <c r="Q358" s="7"/>
      <c r="R358" s="7"/>
      <c r="S358" s="7"/>
      <c r="T358" s="7"/>
      <c r="U358" s="7"/>
      <c r="V358" s="7"/>
      <c r="W358" s="7"/>
      <c r="X358" s="140"/>
      <c r="Y358" s="7"/>
      <c r="Z358" s="140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</row>
    <row r="359" spans="5:40" ht="14.4" x14ac:dyDescent="0.3"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31"/>
      <c r="Q359" s="7"/>
      <c r="R359" s="7"/>
      <c r="S359" s="7"/>
      <c r="T359" s="7"/>
      <c r="U359" s="7"/>
      <c r="V359" s="7"/>
      <c r="W359" s="7"/>
      <c r="X359" s="140"/>
      <c r="Y359" s="7"/>
      <c r="Z359" s="140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</row>
    <row r="360" spans="5:40" ht="14.4" x14ac:dyDescent="0.3"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31"/>
      <c r="Q360" s="7"/>
      <c r="R360" s="7"/>
      <c r="S360" s="7"/>
      <c r="T360" s="7"/>
      <c r="U360" s="7"/>
      <c r="V360" s="7"/>
      <c r="W360" s="7"/>
      <c r="X360" s="140"/>
      <c r="Y360" s="7"/>
      <c r="Z360" s="140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</row>
    <row r="361" spans="5:40" ht="14.4" x14ac:dyDescent="0.3"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31"/>
      <c r="Q361" s="7"/>
      <c r="R361" s="7"/>
      <c r="S361" s="7"/>
      <c r="T361" s="7"/>
      <c r="U361" s="7"/>
      <c r="V361" s="7"/>
      <c r="W361" s="7"/>
      <c r="X361" s="140"/>
      <c r="Y361" s="7"/>
      <c r="Z361" s="140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</row>
    <row r="362" spans="5:40" ht="14.4" x14ac:dyDescent="0.3"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31"/>
      <c r="Q362" s="7"/>
      <c r="R362" s="7"/>
      <c r="S362" s="7"/>
      <c r="T362" s="7"/>
      <c r="U362" s="7"/>
      <c r="V362" s="7"/>
      <c r="W362" s="7"/>
      <c r="X362" s="140"/>
      <c r="Y362" s="7"/>
      <c r="Z362" s="140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</row>
    <row r="363" spans="5:40" ht="14.4" x14ac:dyDescent="0.3"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31"/>
      <c r="Q363" s="7"/>
      <c r="R363" s="7"/>
      <c r="S363" s="7"/>
      <c r="T363" s="7"/>
      <c r="U363" s="7"/>
      <c r="V363" s="7"/>
      <c r="W363" s="7"/>
      <c r="X363" s="140"/>
      <c r="Y363" s="7"/>
      <c r="Z363" s="140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</row>
    <row r="364" spans="5:40" ht="14.4" x14ac:dyDescent="0.3"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31"/>
      <c r="Q364" s="7"/>
      <c r="R364" s="7"/>
      <c r="S364" s="7"/>
      <c r="T364" s="7"/>
      <c r="U364" s="7"/>
      <c r="V364" s="7"/>
      <c r="W364" s="7"/>
      <c r="X364" s="140"/>
      <c r="Y364" s="7"/>
      <c r="Z364" s="140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</row>
    <row r="365" spans="5:40" ht="14.4" x14ac:dyDescent="0.3"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31"/>
      <c r="Q365" s="7"/>
      <c r="R365" s="7"/>
      <c r="S365" s="7"/>
      <c r="T365" s="7"/>
      <c r="U365" s="7"/>
      <c r="V365" s="7"/>
      <c r="W365" s="7"/>
      <c r="X365" s="140"/>
      <c r="Y365" s="7"/>
      <c r="Z365" s="140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</row>
    <row r="366" spans="5:40" ht="14.4" x14ac:dyDescent="0.3"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31"/>
      <c r="Q366" s="7"/>
      <c r="R366" s="7"/>
      <c r="S366" s="7"/>
      <c r="T366" s="7"/>
      <c r="U366" s="7"/>
      <c r="V366" s="7"/>
      <c r="W366" s="7"/>
      <c r="X366" s="140"/>
      <c r="Y366" s="7"/>
      <c r="Z366" s="140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</row>
    <row r="367" spans="5:40" ht="14.4" x14ac:dyDescent="0.3"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31"/>
      <c r="Q367" s="7"/>
      <c r="R367" s="7"/>
      <c r="S367" s="7"/>
      <c r="T367" s="7"/>
      <c r="U367" s="7"/>
      <c r="V367" s="7"/>
      <c r="W367" s="7"/>
      <c r="X367" s="140"/>
      <c r="Y367" s="7"/>
      <c r="Z367" s="140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</row>
    <row r="368" spans="5:40" ht="14.4" x14ac:dyDescent="0.3"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31"/>
      <c r="Q368" s="7"/>
      <c r="R368" s="7"/>
      <c r="S368" s="7"/>
      <c r="T368" s="7"/>
      <c r="U368" s="7"/>
      <c r="V368" s="7"/>
      <c r="W368" s="7"/>
      <c r="X368" s="140"/>
      <c r="Y368" s="7"/>
      <c r="Z368" s="140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</row>
    <row r="369" spans="5:40" ht="14.4" x14ac:dyDescent="0.3"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31"/>
      <c r="Q369" s="7"/>
      <c r="R369" s="7"/>
      <c r="S369" s="7"/>
      <c r="T369" s="7"/>
      <c r="U369" s="7"/>
      <c r="V369" s="7"/>
      <c r="W369" s="7"/>
      <c r="X369" s="140"/>
      <c r="Y369" s="7"/>
      <c r="Z369" s="140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</row>
    <row r="370" spans="5:40" ht="14.4" x14ac:dyDescent="0.3"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31"/>
      <c r="Q370" s="7"/>
      <c r="R370" s="7"/>
      <c r="S370" s="7"/>
      <c r="T370" s="7"/>
      <c r="U370" s="7"/>
      <c r="V370" s="7"/>
      <c r="W370" s="7"/>
      <c r="X370" s="140"/>
      <c r="Y370" s="7"/>
      <c r="Z370" s="140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</row>
    <row r="371" spans="5:40" ht="14.4" x14ac:dyDescent="0.3"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31"/>
      <c r="Q371" s="7"/>
      <c r="R371" s="7"/>
      <c r="S371" s="7"/>
      <c r="T371" s="7"/>
      <c r="U371" s="7"/>
      <c r="V371" s="7"/>
      <c r="W371" s="7"/>
      <c r="X371" s="140"/>
      <c r="Y371" s="7"/>
      <c r="Z371" s="140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</row>
    <row r="372" spans="5:40" ht="14.4" x14ac:dyDescent="0.3"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31"/>
      <c r="Q372" s="7"/>
      <c r="R372" s="7"/>
      <c r="S372" s="7"/>
      <c r="T372" s="7"/>
      <c r="U372" s="7"/>
      <c r="V372" s="7"/>
      <c r="W372" s="7"/>
      <c r="X372" s="140"/>
      <c r="Y372" s="7"/>
      <c r="Z372" s="140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</row>
    <row r="373" spans="5:40" ht="14.4" x14ac:dyDescent="0.3"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31"/>
      <c r="Q373" s="7"/>
      <c r="R373" s="7"/>
      <c r="S373" s="7"/>
      <c r="T373" s="7"/>
      <c r="U373" s="7"/>
      <c r="V373" s="7"/>
      <c r="W373" s="7"/>
      <c r="X373" s="140"/>
      <c r="Y373" s="7"/>
      <c r="Z373" s="140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</row>
    <row r="374" spans="5:40" ht="14.4" x14ac:dyDescent="0.3"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31"/>
      <c r="Q374" s="7"/>
      <c r="R374" s="7"/>
      <c r="S374" s="7"/>
      <c r="T374" s="7"/>
      <c r="U374" s="7"/>
      <c r="V374" s="7"/>
      <c r="W374" s="7"/>
      <c r="X374" s="140"/>
      <c r="Y374" s="7"/>
      <c r="Z374" s="140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</row>
    <row r="375" spans="5:40" ht="14.4" x14ac:dyDescent="0.3"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31"/>
      <c r="Q375" s="7"/>
      <c r="R375" s="7"/>
      <c r="S375" s="7"/>
      <c r="T375" s="7"/>
      <c r="U375" s="7"/>
      <c r="V375" s="7"/>
      <c r="W375" s="7"/>
      <c r="X375" s="140"/>
      <c r="Y375" s="7"/>
      <c r="Z375" s="140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</row>
    <row r="376" spans="5:40" ht="14.4" x14ac:dyDescent="0.3"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31"/>
      <c r="Q376" s="7"/>
      <c r="R376" s="7"/>
      <c r="S376" s="7"/>
      <c r="T376" s="7"/>
      <c r="U376" s="7"/>
      <c r="V376" s="7"/>
      <c r="W376" s="7"/>
      <c r="X376" s="140"/>
      <c r="Y376" s="7"/>
      <c r="Z376" s="140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</row>
    <row r="377" spans="5:40" ht="14.4" x14ac:dyDescent="0.3"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31"/>
      <c r="Q377" s="7"/>
      <c r="R377" s="7"/>
      <c r="S377" s="7"/>
      <c r="T377" s="7"/>
      <c r="U377" s="7"/>
      <c r="V377" s="7"/>
      <c r="W377" s="7"/>
      <c r="X377" s="140"/>
      <c r="Y377" s="7"/>
      <c r="Z377" s="140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</row>
    <row r="378" spans="5:40" ht="14.4" x14ac:dyDescent="0.3"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31"/>
      <c r="Q378" s="7"/>
      <c r="R378" s="7"/>
      <c r="S378" s="7"/>
      <c r="T378" s="7"/>
      <c r="U378" s="7"/>
      <c r="V378" s="7"/>
      <c r="W378" s="7"/>
      <c r="X378" s="140"/>
      <c r="Y378" s="7"/>
      <c r="Z378" s="140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</row>
    <row r="379" spans="5:40" ht="14.4" x14ac:dyDescent="0.3"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31"/>
      <c r="Q379" s="7"/>
      <c r="R379" s="7"/>
      <c r="S379" s="7"/>
      <c r="T379" s="7"/>
      <c r="U379" s="7"/>
      <c r="V379" s="7"/>
      <c r="W379" s="7"/>
      <c r="X379" s="140"/>
      <c r="Y379" s="7"/>
      <c r="Z379" s="140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</row>
    <row r="380" spans="5:40" ht="14.4" x14ac:dyDescent="0.3"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31"/>
      <c r="Q380" s="7"/>
      <c r="R380" s="7"/>
      <c r="S380" s="7"/>
      <c r="T380" s="7"/>
      <c r="U380" s="7"/>
      <c r="V380" s="7"/>
      <c r="W380" s="7"/>
      <c r="X380" s="140"/>
      <c r="Y380" s="7"/>
      <c r="Z380" s="140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</row>
    <row r="381" spans="5:40" ht="14.4" x14ac:dyDescent="0.3"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31"/>
      <c r="Q381" s="7"/>
      <c r="R381" s="7"/>
      <c r="S381" s="7"/>
      <c r="T381" s="7"/>
      <c r="U381" s="7"/>
      <c r="V381" s="7"/>
      <c r="W381" s="7"/>
      <c r="X381" s="140"/>
      <c r="Y381" s="7"/>
      <c r="Z381" s="140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</row>
    <row r="382" spans="5:40" ht="14.4" x14ac:dyDescent="0.3"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31"/>
      <c r="Q382" s="7"/>
      <c r="R382" s="7"/>
      <c r="S382" s="7"/>
      <c r="T382" s="7"/>
      <c r="U382" s="7"/>
      <c r="V382" s="7"/>
      <c r="W382" s="7"/>
      <c r="X382" s="140"/>
      <c r="Y382" s="7"/>
      <c r="Z382" s="140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</row>
    <row r="383" spans="5:40" ht="14.4" x14ac:dyDescent="0.3"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31"/>
      <c r="Q383" s="7"/>
      <c r="R383" s="7"/>
      <c r="S383" s="7"/>
      <c r="T383" s="7"/>
      <c r="U383" s="7"/>
      <c r="V383" s="7"/>
      <c r="W383" s="7"/>
      <c r="X383" s="140"/>
      <c r="Y383" s="7"/>
      <c r="Z383" s="140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</row>
    <row r="384" spans="5:40" ht="14.4" x14ac:dyDescent="0.3"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31"/>
      <c r="Q384" s="7"/>
      <c r="R384" s="7"/>
      <c r="S384" s="7"/>
      <c r="T384" s="7"/>
      <c r="U384" s="7"/>
      <c r="V384" s="7"/>
      <c r="W384" s="7"/>
      <c r="X384" s="140"/>
      <c r="Y384" s="7"/>
      <c r="Z384" s="140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</row>
    <row r="385" spans="5:40" ht="14.4" x14ac:dyDescent="0.3"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31"/>
      <c r="Q385" s="7"/>
      <c r="R385" s="7"/>
      <c r="S385" s="7"/>
      <c r="T385" s="7"/>
      <c r="U385" s="7"/>
      <c r="V385" s="7"/>
      <c r="W385" s="7"/>
      <c r="X385" s="140"/>
      <c r="Y385" s="7"/>
      <c r="Z385" s="140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</row>
    <row r="386" spans="5:40" ht="14.4" x14ac:dyDescent="0.3"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31"/>
      <c r="Q386" s="7"/>
      <c r="R386" s="7"/>
      <c r="S386" s="7"/>
      <c r="T386" s="7"/>
      <c r="U386" s="7"/>
      <c r="V386" s="7"/>
      <c r="W386" s="7"/>
      <c r="X386" s="140"/>
      <c r="Y386" s="7"/>
      <c r="Z386" s="140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</row>
    <row r="387" spans="5:40" ht="14.4" x14ac:dyDescent="0.3"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31"/>
      <c r="Q387" s="7"/>
      <c r="R387" s="7"/>
      <c r="S387" s="7"/>
      <c r="T387" s="7"/>
      <c r="U387" s="7"/>
      <c r="V387" s="7"/>
      <c r="W387" s="7"/>
      <c r="X387" s="140"/>
      <c r="Y387" s="7"/>
      <c r="Z387" s="140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</row>
    <row r="388" spans="5:40" ht="14.4" x14ac:dyDescent="0.3"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31"/>
      <c r="Q388" s="7"/>
      <c r="R388" s="7"/>
      <c r="S388" s="7"/>
      <c r="T388" s="7"/>
      <c r="U388" s="7"/>
      <c r="V388" s="7"/>
      <c r="W388" s="7"/>
      <c r="X388" s="140"/>
      <c r="Y388" s="7"/>
      <c r="Z388" s="140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</row>
    <row r="389" spans="5:40" ht="14.4" x14ac:dyDescent="0.3"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31"/>
      <c r="Q389" s="7"/>
      <c r="R389" s="7"/>
      <c r="S389" s="7"/>
      <c r="T389" s="7"/>
      <c r="U389" s="7"/>
      <c r="V389" s="7"/>
      <c r="W389" s="7"/>
      <c r="X389" s="140"/>
      <c r="Y389" s="7"/>
      <c r="Z389" s="140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</row>
    <row r="390" spans="5:40" ht="14.4" x14ac:dyDescent="0.3"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31"/>
      <c r="Q390" s="7"/>
      <c r="R390" s="7"/>
      <c r="S390" s="7"/>
      <c r="T390" s="7"/>
      <c r="U390" s="7"/>
      <c r="V390" s="7"/>
      <c r="W390" s="7"/>
      <c r="X390" s="140"/>
      <c r="Y390" s="7"/>
      <c r="Z390" s="140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</row>
    <row r="391" spans="5:40" ht="14.4" x14ac:dyDescent="0.3"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31"/>
      <c r="Q391" s="7"/>
      <c r="R391" s="7"/>
      <c r="S391" s="7"/>
      <c r="T391" s="7"/>
      <c r="U391" s="7"/>
      <c r="V391" s="7"/>
      <c r="W391" s="7"/>
      <c r="X391" s="140"/>
      <c r="Y391" s="7"/>
      <c r="Z391" s="140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</row>
    <row r="392" spans="5:40" ht="14.4" x14ac:dyDescent="0.3"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31"/>
      <c r="Q392" s="7"/>
      <c r="R392" s="7"/>
      <c r="S392" s="7"/>
      <c r="T392" s="7"/>
      <c r="U392" s="7"/>
      <c r="V392" s="7"/>
      <c r="W392" s="7"/>
      <c r="X392" s="140"/>
      <c r="Y392" s="7"/>
      <c r="Z392" s="140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</row>
  </sheetData>
  <mergeCells count="23">
    <mergeCell ref="AH1:AI1"/>
    <mergeCell ref="E3:AB3"/>
    <mergeCell ref="A30:D30"/>
    <mergeCell ref="A27:D27"/>
    <mergeCell ref="F5:N5"/>
    <mergeCell ref="A29:AB29"/>
    <mergeCell ref="P19:V19"/>
    <mergeCell ref="AC11:AE11"/>
    <mergeCell ref="P8:P13"/>
    <mergeCell ref="P32:Q32"/>
    <mergeCell ref="P38:Q38"/>
    <mergeCell ref="A25:D25"/>
    <mergeCell ref="A20:D20"/>
    <mergeCell ref="A1:Y2"/>
    <mergeCell ref="A18:D18"/>
    <mergeCell ref="B7:D7"/>
    <mergeCell ref="A21:B23"/>
    <mergeCell ref="F30:N30"/>
    <mergeCell ref="F7:G7"/>
    <mergeCell ref="F15:N15"/>
    <mergeCell ref="P5:V5"/>
    <mergeCell ref="S6:V6"/>
    <mergeCell ref="P14:Q14"/>
  </mergeCells>
  <phoneticPr fontId="5" type="noConversion"/>
  <conditionalFormatting sqref="A25">
    <cfRule type="containsText" dxfId="235" priority="68" operator="containsText" text="desintegracion">
      <formula>NOT(ISERROR(SEARCH("desintegracion",A25)))</formula>
    </cfRule>
    <cfRule type="containsText" dxfId="234" priority="69" operator="containsText" text="cagaste algo">
      <formula>NOT(ISERROR(SEARCH("cagaste algo",A25)))</formula>
    </cfRule>
    <cfRule type="containsText" dxfId="233" priority="70" operator="containsText" text="una sola">
      <formula>NOT(ISERROR(SEARCH("una sola",A25)))</formula>
    </cfRule>
  </conditionalFormatting>
  <conditionalFormatting sqref="N35:N44">
    <cfRule type="containsText" dxfId="232" priority="58" operator="containsText" text="CUMPLE">
      <formula>NOT(ISERROR(SEARCH("CUMPLE",N35)))</formula>
    </cfRule>
    <cfRule type="containsText" dxfId="231" priority="66" operator="containsText" text="NO">
      <formula>NOT(ISERROR(SEARCH("NO",N35)))</formula>
    </cfRule>
  </conditionalFormatting>
  <conditionalFormatting sqref="F35:I44 AJ9:AK17 AJ22:AK38">
    <cfRule type="expression" dxfId="230" priority="62">
      <formula>$K9=1</formula>
    </cfRule>
  </conditionalFormatting>
  <conditionalFormatting sqref="A27:D27">
    <cfRule type="containsText" dxfId="229" priority="59" operator="containsText" text="conicas">
      <formula>NOT(ISERROR(SEARCH("conicas",A27)))</formula>
    </cfRule>
    <cfRule type="containsText" dxfId="228" priority="60" operator="containsText" text="solo">
      <formula>NOT(ISERROR(SEARCH("solo",A27)))</formula>
    </cfRule>
  </conditionalFormatting>
  <conditionalFormatting sqref="N35:N44">
    <cfRule type="duplicateValues" dxfId="227" priority="67"/>
  </conditionalFormatting>
  <conditionalFormatting sqref="I18:I21">
    <cfRule type="containsText" dxfId="226" priority="50" operator="containsText" text="Cumple">
      <formula>NOT(ISERROR(SEARCH("Cumple",I18)))</formula>
    </cfRule>
    <cfRule type="containsText" dxfId="225" priority="51" operator="containsText" text="NO">
      <formula>NOT(ISERROR(SEARCH("NO",I18)))</formula>
    </cfRule>
  </conditionalFormatting>
  <conditionalFormatting sqref="W8:X13">
    <cfRule type="containsText" dxfId="224" priority="46" operator="containsText" text="Cumple">
      <formula>NOT(ISERROR(SEARCH("Cumple",W8)))</formula>
    </cfRule>
    <cfRule type="containsText" dxfId="223" priority="47" operator="containsText" text="NO">
      <formula>NOT(ISERROR(SEARCH("NO",W8)))</formula>
    </cfRule>
  </conditionalFormatting>
  <conditionalFormatting sqref="R8:V13">
    <cfRule type="expression" dxfId="222" priority="10">
      <formula>$O$14=0</formula>
    </cfRule>
    <cfRule type="expression" dxfId="221" priority="71">
      <formula>$W8="cumple"</formula>
    </cfRule>
  </conditionalFormatting>
  <conditionalFormatting sqref="R8:V13">
    <cfRule type="expression" dxfId="220" priority="44">
      <formula>$O8=MAX($O$8:$O$13)</formula>
    </cfRule>
  </conditionalFormatting>
  <conditionalFormatting sqref="AC11:AE11">
    <cfRule type="containsText" dxfId="219" priority="22" operator="containsText" text="boca">
      <formula>NOT(ISERROR(SEARCH("boca",AC11)))</formula>
    </cfRule>
    <cfRule type="containsText" dxfId="218" priority="23" operator="containsText" text="no">
      <formula>NOT(ISERROR(SEARCH("no",AC11)))</formula>
    </cfRule>
  </conditionalFormatting>
  <conditionalFormatting sqref="AJ40:AJ49">
    <cfRule type="expression" dxfId="217" priority="21">
      <formula>$K40=1</formula>
    </cfRule>
  </conditionalFormatting>
  <conditionalFormatting sqref="F18:H21">
    <cfRule type="expression" dxfId="216" priority="104">
      <formula>$E18=1</formula>
    </cfRule>
  </conditionalFormatting>
  <conditionalFormatting sqref="AJ18:AK21">
    <cfRule type="expression" dxfId="215" priority="107">
      <formula>$E18=1</formula>
    </cfRule>
  </conditionalFormatting>
  <conditionalFormatting sqref="K18:N18">
    <cfRule type="expression" dxfId="214" priority="15">
      <formula>$E18=1</formula>
    </cfRule>
  </conditionalFormatting>
  <conditionalFormatting sqref="K19:N21">
    <cfRule type="expression" dxfId="213" priority="14">
      <formula>$E19=1</formula>
    </cfRule>
  </conditionalFormatting>
  <conditionalFormatting sqref="K18:K2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8">
    <cfRule type="expression" dxfId="212" priority="7">
      <formula>$O$14=0</formula>
    </cfRule>
    <cfRule type="expression" dxfId="211" priority="9">
      <formula>$W8="cumple"</formula>
    </cfRule>
  </conditionalFormatting>
  <conditionalFormatting sqref="AA8">
    <cfRule type="expression" dxfId="210" priority="8">
      <formula>$O8=MAX($O$8:$O$13)</formula>
    </cfRule>
  </conditionalFormatting>
  <conditionalFormatting sqref="AA9:AA13">
    <cfRule type="expression" dxfId="209" priority="4">
      <formula>$O$14=0</formula>
    </cfRule>
    <cfRule type="expression" dxfId="208" priority="6">
      <formula>$W9="cumple"</formula>
    </cfRule>
  </conditionalFormatting>
  <conditionalFormatting sqref="AA9:AA13">
    <cfRule type="expression" dxfId="207" priority="5">
      <formula>$O9=MAX($O$8:$O$13)</formula>
    </cfRule>
  </conditionalFormatting>
  <conditionalFormatting sqref="O35:O44">
    <cfRule type="containsText" dxfId="206" priority="1" operator="containsText" text="necesito">
      <formula>NOT(ISERROR(SEARCH("necesito",O35)))</formula>
    </cfRule>
    <cfRule type="containsText" dxfId="205" priority="2" operator="containsText" text="CUMPLE">
      <formula>NOT(ISERROR(SEARCH("CUMPLE",O35)))</formula>
    </cfRule>
    <cfRule type="containsText" dxfId="204" priority="3" operator="containsText" text="NO">
      <formula>NOT(ISERROR(SEARCH("NO",O35)))</formula>
    </cfRule>
  </conditionalFormatting>
  <pageMargins left="0.7" right="0.7" top="0.75" bottom="0.75" header="0.3" footer="0.3"/>
  <pageSetup orientation="portrait" r:id="rId1"/>
  <ignoredErrors>
    <ignoredError sqref="Q10:Q12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0000000}">
          <x14:formula1>
            <xm:f>Materiales!$A$3:$A$19</xm:f>
          </x14:formula1>
          <xm:sqref>B7:D7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/>
  <dimension ref="A1:N46"/>
  <sheetViews>
    <sheetView zoomScale="114" zoomScaleNormal="85" workbookViewId="0">
      <selection activeCell="T35" sqref="T35"/>
    </sheetView>
  </sheetViews>
  <sheetFormatPr baseColWidth="10" defaultColWidth="10.90625" defaultRowHeight="13.8" x14ac:dyDescent="0.25"/>
  <cols>
    <col min="1" max="1" width="15.6328125" customWidth="1"/>
  </cols>
  <sheetData>
    <row r="1" spans="1:8" ht="14.4" x14ac:dyDescent="0.3">
      <c r="B1" s="291" t="s">
        <v>105</v>
      </c>
      <c r="C1" s="292"/>
      <c r="D1" s="292"/>
      <c r="E1" s="292"/>
      <c r="F1" s="292"/>
      <c r="G1" s="292"/>
      <c r="H1" s="293"/>
    </row>
    <row r="2" spans="1:8" ht="14.4" x14ac:dyDescent="0.3">
      <c r="B2" s="291" t="s">
        <v>14</v>
      </c>
      <c r="C2" s="292"/>
      <c r="D2" s="292"/>
      <c r="E2" s="292"/>
      <c r="F2" s="292"/>
      <c r="G2" s="292"/>
      <c r="H2" s="293"/>
    </row>
    <row r="3" spans="1:8" ht="14.4" x14ac:dyDescent="0.3">
      <c r="A3" s="23" t="s">
        <v>102</v>
      </c>
      <c r="B3" s="24" t="s">
        <v>157</v>
      </c>
      <c r="C3" s="24" t="s">
        <v>65</v>
      </c>
      <c r="D3" s="24" t="s">
        <v>67</v>
      </c>
      <c r="E3" s="24" t="s">
        <v>68</v>
      </c>
      <c r="F3" s="24" t="s">
        <v>69</v>
      </c>
      <c r="G3" s="24" t="s">
        <v>103</v>
      </c>
      <c r="H3" s="25" t="s">
        <v>104</v>
      </c>
    </row>
    <row r="4" spans="1:8" ht="14.4" x14ac:dyDescent="0.3">
      <c r="A4" s="21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9">
        <v>0</v>
      </c>
    </row>
    <row r="5" spans="1:8" ht="14.4" x14ac:dyDescent="0.3">
      <c r="A5" s="21">
        <v>0.1</v>
      </c>
      <c r="B5" s="20">
        <v>0.25</v>
      </c>
      <c r="C5" s="20">
        <v>0.3</v>
      </c>
      <c r="D5" s="20">
        <v>0.4</v>
      </c>
      <c r="E5" s="20">
        <v>0.6</v>
      </c>
      <c r="F5" s="20">
        <v>0.8</v>
      </c>
      <c r="G5" s="20">
        <v>1</v>
      </c>
      <c r="H5" s="22">
        <v>1.25</v>
      </c>
    </row>
    <row r="6" spans="1:8" ht="14.4" x14ac:dyDescent="0.3">
      <c r="A6" s="21">
        <v>0.2</v>
      </c>
      <c r="B6" s="20">
        <f>0.75*0.5</f>
        <v>0.375</v>
      </c>
      <c r="C6" s="20">
        <v>0.5</v>
      </c>
      <c r="D6" s="20">
        <v>0.75</v>
      </c>
      <c r="E6" s="20">
        <v>1.2</v>
      </c>
      <c r="F6" s="20">
        <v>1.5</v>
      </c>
      <c r="G6" s="20">
        <v>1.75</v>
      </c>
      <c r="H6" s="22">
        <v>2</v>
      </c>
    </row>
    <row r="7" spans="1:8" ht="14.4" x14ac:dyDescent="0.3">
      <c r="A7" s="21">
        <v>0.3</v>
      </c>
      <c r="B7" s="20">
        <v>0.5</v>
      </c>
      <c r="C7" s="20">
        <v>0.65</v>
      </c>
      <c r="D7" s="20">
        <v>1</v>
      </c>
      <c r="E7" s="20">
        <v>1.5</v>
      </c>
      <c r="F7" s="20">
        <v>1.8</v>
      </c>
      <c r="G7" s="20">
        <v>2.4</v>
      </c>
      <c r="H7" s="22">
        <v>2.7</v>
      </c>
    </row>
    <row r="8" spans="1:8" ht="14.4" x14ac:dyDescent="0.3">
      <c r="A8" s="21">
        <v>0.4</v>
      </c>
      <c r="B8" s="20">
        <f>0.2*0.5+0.5</f>
        <v>0.6</v>
      </c>
      <c r="C8" s="20">
        <v>0.8</v>
      </c>
      <c r="D8" s="20">
        <v>1.25</v>
      </c>
      <c r="E8" s="20">
        <v>1.7</v>
      </c>
      <c r="F8" s="20">
        <v>2.2000000000000002</v>
      </c>
      <c r="G8" s="20">
        <v>2.8</v>
      </c>
      <c r="H8" s="22">
        <v>3.25</v>
      </c>
    </row>
    <row r="9" spans="1:8" ht="14.4" x14ac:dyDescent="0.3">
      <c r="A9" s="21">
        <v>0.5</v>
      </c>
      <c r="B9" s="20">
        <f>0.4*0.5+0.5</f>
        <v>0.7</v>
      </c>
      <c r="C9" s="20">
        <v>1</v>
      </c>
      <c r="D9" s="20">
        <v>1.4</v>
      </c>
      <c r="E9" s="20">
        <v>1.9</v>
      </c>
      <c r="F9" s="20">
        <v>2.4</v>
      </c>
      <c r="G9" s="20">
        <v>3.2</v>
      </c>
      <c r="H9" s="22">
        <v>3.7250000000000001</v>
      </c>
    </row>
    <row r="10" spans="1:8" ht="14.4" x14ac:dyDescent="0.3">
      <c r="A10" s="21">
        <v>0.6</v>
      </c>
      <c r="B10" s="20">
        <v>0.75</v>
      </c>
      <c r="C10" s="20">
        <v>1.1000000000000001</v>
      </c>
      <c r="D10" s="20">
        <v>1.5</v>
      </c>
      <c r="E10" s="20">
        <v>2.2000000000000002</v>
      </c>
      <c r="F10" s="20">
        <v>2.7</v>
      </c>
      <c r="G10" s="20">
        <v>3.5</v>
      </c>
      <c r="H10" s="22">
        <v>4.2</v>
      </c>
    </row>
    <row r="11" spans="1:8" ht="14.4" x14ac:dyDescent="0.3">
      <c r="A11" s="21">
        <v>0.7</v>
      </c>
      <c r="B11" s="20">
        <v>0.8</v>
      </c>
      <c r="C11" s="20">
        <v>1.2</v>
      </c>
      <c r="D11" s="20">
        <v>1.65</v>
      </c>
      <c r="E11" s="20">
        <v>2.4</v>
      </c>
      <c r="F11" s="20">
        <v>3</v>
      </c>
      <c r="G11" s="20">
        <v>3.8</v>
      </c>
      <c r="H11" s="22">
        <v>4.5</v>
      </c>
    </row>
    <row r="12" spans="1:8" ht="14.4" x14ac:dyDescent="0.3">
      <c r="A12" s="21">
        <v>0.8</v>
      </c>
      <c r="B12" s="20">
        <v>0.85</v>
      </c>
      <c r="C12" s="20">
        <v>1.3</v>
      </c>
      <c r="D12" s="20">
        <v>1.75</v>
      </c>
      <c r="E12" s="20">
        <v>2.5</v>
      </c>
      <c r="F12" s="20">
        <v>3.3</v>
      </c>
      <c r="G12" s="20">
        <v>4.2</v>
      </c>
      <c r="H12" s="22">
        <v>5</v>
      </c>
    </row>
    <row r="13" spans="1:8" ht="14.4" x14ac:dyDescent="0.3">
      <c r="A13" s="21">
        <v>0.9</v>
      </c>
      <c r="B13" s="20">
        <v>1</v>
      </c>
      <c r="C13" s="20">
        <v>1.5</v>
      </c>
      <c r="D13" s="20">
        <v>2</v>
      </c>
      <c r="E13" s="20">
        <v>2.7</v>
      </c>
      <c r="F13" s="20">
        <v>3.7</v>
      </c>
      <c r="G13" s="20">
        <v>4.5</v>
      </c>
      <c r="H13" s="22">
        <v>5.5</v>
      </c>
    </row>
    <row r="14" spans="1:8" ht="14.4" x14ac:dyDescent="0.3">
      <c r="A14" s="26">
        <v>1</v>
      </c>
      <c r="B14" s="27">
        <v>1.2</v>
      </c>
      <c r="C14" s="27">
        <v>1.9</v>
      </c>
      <c r="D14" s="27">
        <v>2.5</v>
      </c>
      <c r="E14" s="27">
        <v>3.3</v>
      </c>
      <c r="F14" s="27">
        <v>4.2</v>
      </c>
      <c r="G14" s="27">
        <v>4.9000000000000004</v>
      </c>
      <c r="H14" s="28">
        <v>6</v>
      </c>
    </row>
    <row r="17" spans="1:14" ht="14.4" x14ac:dyDescent="0.3">
      <c r="B17" s="294" t="s">
        <v>115</v>
      </c>
      <c r="C17" s="294"/>
      <c r="D17" s="294"/>
      <c r="E17" s="294"/>
      <c r="F17" s="294"/>
      <c r="G17" s="294"/>
      <c r="H17" s="294"/>
      <c r="I17" s="294"/>
      <c r="J17" s="294"/>
      <c r="K17" s="294"/>
      <c r="L17" s="294"/>
      <c r="M17" s="294"/>
      <c r="N17" s="294"/>
    </row>
    <row r="18" spans="1:14" ht="14.4" x14ac:dyDescent="0.3">
      <c r="B18" s="294" t="s">
        <v>14</v>
      </c>
      <c r="C18" s="294"/>
      <c r="D18" s="294"/>
      <c r="E18" s="294"/>
      <c r="F18" s="294"/>
      <c r="G18" s="294"/>
      <c r="H18" s="294"/>
      <c r="I18" s="294"/>
      <c r="J18" s="294"/>
      <c r="K18" s="294"/>
      <c r="L18" s="294"/>
      <c r="M18" s="294"/>
      <c r="N18" s="294"/>
    </row>
    <row r="19" spans="1:14" ht="14.4" x14ac:dyDescent="0.3">
      <c r="A19" s="35" t="s">
        <v>102</v>
      </c>
      <c r="B19" s="1" t="s">
        <v>68</v>
      </c>
      <c r="C19" s="1" t="s">
        <v>69</v>
      </c>
      <c r="D19" s="1" t="s">
        <v>103</v>
      </c>
      <c r="E19" s="1" t="s">
        <v>104</v>
      </c>
      <c r="F19" s="1" t="s">
        <v>106</v>
      </c>
      <c r="G19" s="1" t="s">
        <v>107</v>
      </c>
      <c r="H19" s="1" t="s">
        <v>108</v>
      </c>
      <c r="I19" s="1" t="s">
        <v>109</v>
      </c>
      <c r="J19" s="1" t="s">
        <v>110</v>
      </c>
      <c r="K19" s="1" t="s">
        <v>111</v>
      </c>
      <c r="L19" s="1" t="s">
        <v>112</v>
      </c>
      <c r="M19" s="1" t="s">
        <v>113</v>
      </c>
      <c r="N19" s="1" t="s">
        <v>114</v>
      </c>
    </row>
    <row r="20" spans="1:14" ht="14.4" x14ac:dyDescent="0.3">
      <c r="A20" s="36">
        <v>0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</row>
    <row r="21" spans="1:14" ht="14.4" x14ac:dyDescent="0.3">
      <c r="A21" s="37">
        <v>0.1</v>
      </c>
      <c r="B21" s="2">
        <v>0.6</v>
      </c>
      <c r="C21" s="2">
        <v>0.8</v>
      </c>
      <c r="D21" s="2">
        <v>1</v>
      </c>
      <c r="E21" s="2">
        <v>1.25</v>
      </c>
      <c r="F21" s="2">
        <v>1.5</v>
      </c>
      <c r="G21" s="2">
        <v>2</v>
      </c>
      <c r="H21" s="2">
        <v>2.5</v>
      </c>
      <c r="I21" s="2">
        <v>3</v>
      </c>
      <c r="J21" s="2">
        <v>4</v>
      </c>
      <c r="K21" s="2">
        <v>5</v>
      </c>
      <c r="L21" s="2">
        <v>6</v>
      </c>
      <c r="M21" s="2">
        <v>7</v>
      </c>
      <c r="N21" s="2">
        <v>9</v>
      </c>
    </row>
    <row r="22" spans="1:14" ht="14.4" x14ac:dyDescent="0.3">
      <c r="A22" s="36">
        <v>0.2</v>
      </c>
      <c r="B22" s="2">
        <v>0.9</v>
      </c>
      <c r="C22" s="2">
        <v>1.5</v>
      </c>
      <c r="D22" s="2">
        <v>1.75</v>
      </c>
      <c r="E22" s="2">
        <v>2</v>
      </c>
      <c r="F22" s="2">
        <v>2.4</v>
      </c>
      <c r="G22" s="2">
        <v>3</v>
      </c>
      <c r="H22" s="2">
        <v>4</v>
      </c>
      <c r="I22" s="2">
        <v>5</v>
      </c>
      <c r="J22" s="2">
        <v>5.5</v>
      </c>
      <c r="K22" s="2">
        <v>6.5</v>
      </c>
      <c r="L22" s="2">
        <v>8</v>
      </c>
      <c r="M22" s="2">
        <v>9</v>
      </c>
      <c r="N22" s="2">
        <v>11</v>
      </c>
    </row>
    <row r="23" spans="1:14" ht="14.4" x14ac:dyDescent="0.3">
      <c r="A23" s="37">
        <v>0.3</v>
      </c>
      <c r="B23" s="2">
        <v>1.1000000000000001</v>
      </c>
      <c r="C23" s="2">
        <v>1.8</v>
      </c>
      <c r="D23" s="2">
        <v>2.4</v>
      </c>
      <c r="E23" s="2">
        <v>2.7</v>
      </c>
      <c r="F23" s="2">
        <v>3</v>
      </c>
      <c r="G23" s="2">
        <v>4</v>
      </c>
      <c r="H23" s="2">
        <v>4.5</v>
      </c>
      <c r="I23" s="2">
        <v>5.5</v>
      </c>
      <c r="J23" s="2">
        <v>6.5</v>
      </c>
      <c r="K23" s="2">
        <v>7.5</v>
      </c>
      <c r="L23" s="2">
        <v>9</v>
      </c>
      <c r="M23" s="2">
        <v>11</v>
      </c>
      <c r="N23" s="2">
        <v>13</v>
      </c>
    </row>
    <row r="24" spans="1:14" ht="14.4" x14ac:dyDescent="0.3">
      <c r="A24" s="36">
        <v>0.4</v>
      </c>
      <c r="B24" s="2">
        <v>1.5</v>
      </c>
      <c r="C24" s="2">
        <v>2.2000000000000002</v>
      </c>
      <c r="D24" s="2">
        <v>2.8</v>
      </c>
      <c r="E24" s="2">
        <v>3.25</v>
      </c>
      <c r="F24" s="2">
        <v>3.9</v>
      </c>
      <c r="G24" s="2">
        <v>4.8</v>
      </c>
      <c r="H24" s="2">
        <v>5</v>
      </c>
      <c r="I24" s="2">
        <v>6.5</v>
      </c>
      <c r="J24" s="2">
        <v>7.5</v>
      </c>
      <c r="K24" s="2">
        <v>8.5</v>
      </c>
      <c r="L24" s="2">
        <v>10</v>
      </c>
      <c r="M24" s="2">
        <v>12.5</v>
      </c>
      <c r="N24" s="2">
        <v>15</v>
      </c>
    </row>
    <row r="25" spans="1:14" ht="14.4" x14ac:dyDescent="0.3">
      <c r="A25" s="37">
        <v>0.5</v>
      </c>
      <c r="B25" s="2">
        <v>1.9</v>
      </c>
      <c r="C25" s="2">
        <v>2.4</v>
      </c>
      <c r="D25" s="2">
        <v>3.2</v>
      </c>
      <c r="E25" s="2">
        <v>3.7250000000000001</v>
      </c>
      <c r="F25" s="2">
        <v>4.0999999999999996</v>
      </c>
      <c r="G25" s="2">
        <v>5</v>
      </c>
      <c r="H25" s="2">
        <v>6</v>
      </c>
      <c r="I25" s="2">
        <v>7</v>
      </c>
      <c r="J25" s="2">
        <v>8.1999999999999993</v>
      </c>
      <c r="K25" s="2">
        <v>9.5</v>
      </c>
      <c r="L25" s="2">
        <v>11</v>
      </c>
      <c r="M25" s="2">
        <v>14</v>
      </c>
      <c r="N25" s="2">
        <v>17</v>
      </c>
    </row>
    <row r="26" spans="1:14" ht="14.4" x14ac:dyDescent="0.3">
      <c r="A26" s="36">
        <v>0.6</v>
      </c>
      <c r="B26" s="2">
        <v>2.2000000000000002</v>
      </c>
      <c r="C26" s="2">
        <v>2.6</v>
      </c>
      <c r="D26" s="2">
        <v>3.5</v>
      </c>
      <c r="E26" s="2">
        <v>4.2</v>
      </c>
      <c r="F26" s="2">
        <v>4.7</v>
      </c>
      <c r="G26" s="2">
        <v>5.5</v>
      </c>
      <c r="H26" s="2">
        <v>6.5</v>
      </c>
      <c r="I26" s="2">
        <v>7.8</v>
      </c>
      <c r="J26" s="2">
        <v>9</v>
      </c>
      <c r="K26" s="2">
        <v>10.5</v>
      </c>
      <c r="L26" s="2">
        <v>12.5</v>
      </c>
      <c r="M26" s="2">
        <v>16</v>
      </c>
      <c r="N26" s="2">
        <v>19</v>
      </c>
    </row>
    <row r="27" spans="1:14" ht="14.4" x14ac:dyDescent="0.3">
      <c r="A27" s="37">
        <v>0.7</v>
      </c>
      <c r="B27" s="2">
        <v>2.4</v>
      </c>
      <c r="C27" s="2">
        <v>2.8</v>
      </c>
      <c r="D27" s="2">
        <v>3.8</v>
      </c>
      <c r="E27" s="2">
        <v>4.5</v>
      </c>
      <c r="F27" s="2">
        <v>5</v>
      </c>
      <c r="G27" s="2">
        <v>6</v>
      </c>
      <c r="H27" s="2">
        <v>7</v>
      </c>
      <c r="I27" s="2">
        <v>8.5</v>
      </c>
      <c r="J27" s="2">
        <v>10</v>
      </c>
      <c r="K27" s="2">
        <v>11</v>
      </c>
      <c r="L27" s="2">
        <v>14</v>
      </c>
      <c r="M27" s="2">
        <v>17.5</v>
      </c>
      <c r="N27" s="2">
        <v>21</v>
      </c>
    </row>
    <row r="28" spans="1:14" ht="14.4" x14ac:dyDescent="0.3">
      <c r="A28" s="36">
        <v>0.8</v>
      </c>
      <c r="B28" s="2">
        <v>2.5</v>
      </c>
      <c r="C28" s="2">
        <v>3.3</v>
      </c>
      <c r="D28" s="2">
        <v>4.2</v>
      </c>
      <c r="E28" s="2">
        <v>5</v>
      </c>
      <c r="F28" s="2">
        <v>5.4</v>
      </c>
      <c r="G28" s="2">
        <v>6.6</v>
      </c>
      <c r="H28" s="2">
        <v>7.5</v>
      </c>
      <c r="I28" s="2">
        <v>9</v>
      </c>
      <c r="J28" s="2">
        <v>11</v>
      </c>
      <c r="K28" s="2">
        <v>12.5</v>
      </c>
      <c r="L28" s="2">
        <v>15.5</v>
      </c>
      <c r="M28" s="2">
        <v>20</v>
      </c>
      <c r="N28" s="2">
        <v>24</v>
      </c>
    </row>
    <row r="29" spans="1:14" ht="14.4" x14ac:dyDescent="0.3">
      <c r="A29" s="37">
        <v>0.9</v>
      </c>
      <c r="B29" s="2">
        <v>2.7</v>
      </c>
      <c r="C29" s="2">
        <v>4</v>
      </c>
      <c r="D29" s="2">
        <v>4.5</v>
      </c>
      <c r="E29" s="2">
        <v>5.5</v>
      </c>
      <c r="F29" s="2">
        <v>6</v>
      </c>
      <c r="G29" s="2">
        <v>7.2</v>
      </c>
      <c r="H29" s="2">
        <v>8.5</v>
      </c>
      <c r="I29" s="2">
        <v>9.5</v>
      </c>
      <c r="J29" s="2">
        <v>12</v>
      </c>
      <c r="K29" s="2">
        <v>13.5</v>
      </c>
      <c r="L29" s="2">
        <v>17</v>
      </c>
      <c r="M29" s="2">
        <v>22</v>
      </c>
      <c r="N29" s="2">
        <v>27</v>
      </c>
    </row>
    <row r="30" spans="1:14" ht="14.4" x14ac:dyDescent="0.3">
      <c r="A30" s="38">
        <v>1</v>
      </c>
      <c r="B30" s="39">
        <v>3.3</v>
      </c>
      <c r="C30" s="39">
        <v>4.7</v>
      </c>
      <c r="D30" s="39">
        <v>5.2</v>
      </c>
      <c r="E30" s="39">
        <v>6.1</v>
      </c>
      <c r="F30" s="39">
        <v>6.8</v>
      </c>
      <c r="G30" s="39">
        <v>8</v>
      </c>
      <c r="H30" s="39">
        <v>9.9</v>
      </c>
      <c r="I30" s="39">
        <v>11</v>
      </c>
      <c r="J30" s="39">
        <v>13</v>
      </c>
      <c r="K30" s="39">
        <v>15</v>
      </c>
      <c r="L30" s="39">
        <v>20</v>
      </c>
      <c r="M30" s="39">
        <v>24.5</v>
      </c>
      <c r="N30" s="39">
        <v>30</v>
      </c>
    </row>
    <row r="33" spans="2:8" ht="17.100000000000001" customHeight="1" thickBot="1" x14ac:dyDescent="0.3">
      <c r="B33" s="42">
        <v>1</v>
      </c>
      <c r="C33" s="43" t="s">
        <v>14</v>
      </c>
      <c r="F33" s="42">
        <v>1</v>
      </c>
      <c r="G33" s="43" t="s">
        <v>14</v>
      </c>
    </row>
    <row r="34" spans="2:8" ht="15" thickBot="1" x14ac:dyDescent="0.35">
      <c r="B34" s="40">
        <v>1.2</v>
      </c>
      <c r="C34" s="145">
        <v>0.5</v>
      </c>
      <c r="D34" s="40" t="s">
        <v>116</v>
      </c>
      <c r="F34" s="40">
        <v>3.3</v>
      </c>
      <c r="G34" s="44">
        <v>2</v>
      </c>
      <c r="H34" s="41" t="s">
        <v>115</v>
      </c>
    </row>
    <row r="35" spans="2:8" ht="15" thickBot="1" x14ac:dyDescent="0.35">
      <c r="B35" s="40">
        <v>1.9</v>
      </c>
      <c r="C35" s="145">
        <v>1</v>
      </c>
      <c r="D35" s="40" t="s">
        <v>116</v>
      </c>
      <c r="F35" s="40">
        <v>4.7</v>
      </c>
      <c r="G35" s="44">
        <v>2.5</v>
      </c>
      <c r="H35" s="41" t="s">
        <v>115</v>
      </c>
    </row>
    <row r="36" spans="2:8" ht="15" thickBot="1" x14ac:dyDescent="0.35">
      <c r="B36" s="40">
        <v>2.5</v>
      </c>
      <c r="C36" s="145">
        <v>1.5</v>
      </c>
      <c r="D36" s="40" t="s">
        <v>116</v>
      </c>
      <c r="F36" s="40">
        <v>5.2</v>
      </c>
      <c r="G36" s="44">
        <v>3</v>
      </c>
      <c r="H36" s="41" t="s">
        <v>115</v>
      </c>
    </row>
    <row r="37" spans="2:8" ht="15" thickBot="1" x14ac:dyDescent="0.35">
      <c r="B37" s="40">
        <v>3.3</v>
      </c>
      <c r="C37" s="145">
        <v>2</v>
      </c>
      <c r="D37" s="40" t="s">
        <v>116</v>
      </c>
      <c r="F37" s="40">
        <v>6.1</v>
      </c>
      <c r="G37" s="44">
        <v>3.5</v>
      </c>
      <c r="H37" s="41" t="s">
        <v>115</v>
      </c>
    </row>
    <row r="38" spans="2:8" ht="15" thickBot="1" x14ac:dyDescent="0.35">
      <c r="B38" s="40">
        <v>4.2</v>
      </c>
      <c r="C38" s="145">
        <v>2.5</v>
      </c>
      <c r="D38" s="40" t="s">
        <v>116</v>
      </c>
      <c r="F38" s="40">
        <v>6.8</v>
      </c>
      <c r="G38" s="44">
        <v>4</v>
      </c>
      <c r="H38" s="41" t="s">
        <v>115</v>
      </c>
    </row>
    <row r="39" spans="2:8" ht="15" thickBot="1" x14ac:dyDescent="0.35">
      <c r="B39" s="40">
        <v>4.9000000000000004</v>
      </c>
      <c r="C39" s="145">
        <v>3</v>
      </c>
      <c r="D39" s="40" t="s">
        <v>116</v>
      </c>
      <c r="F39" s="40">
        <v>8</v>
      </c>
      <c r="G39" s="44">
        <v>5</v>
      </c>
      <c r="H39" s="41" t="s">
        <v>115</v>
      </c>
    </row>
    <row r="40" spans="2:8" ht="15" thickBot="1" x14ac:dyDescent="0.35">
      <c r="B40" s="40">
        <v>6</v>
      </c>
      <c r="C40" s="145">
        <v>3.5</v>
      </c>
      <c r="D40" s="40" t="s">
        <v>116</v>
      </c>
      <c r="F40" s="40">
        <v>9.9</v>
      </c>
      <c r="G40" s="44">
        <v>6</v>
      </c>
      <c r="H40" s="41" t="s">
        <v>115</v>
      </c>
    </row>
    <row r="41" spans="2:8" ht="15" thickBot="1" x14ac:dyDescent="0.35">
      <c r="F41" s="40">
        <v>11</v>
      </c>
      <c r="G41" s="44">
        <v>7</v>
      </c>
      <c r="H41" s="41" t="s">
        <v>115</v>
      </c>
    </row>
    <row r="42" spans="2:8" ht="15" thickBot="1" x14ac:dyDescent="0.35">
      <c r="F42" s="40">
        <v>13</v>
      </c>
      <c r="G42" s="44">
        <v>8</v>
      </c>
      <c r="H42" s="41" t="s">
        <v>115</v>
      </c>
    </row>
    <row r="43" spans="2:8" ht="15" thickBot="1" x14ac:dyDescent="0.35">
      <c r="F43" s="40">
        <v>15</v>
      </c>
      <c r="G43" s="44">
        <v>9</v>
      </c>
      <c r="H43" s="41" t="s">
        <v>115</v>
      </c>
    </row>
    <row r="44" spans="2:8" ht="15" thickBot="1" x14ac:dyDescent="0.35">
      <c r="F44" s="40">
        <v>20</v>
      </c>
      <c r="G44" s="44">
        <v>10</v>
      </c>
      <c r="H44" s="41" t="s">
        <v>115</v>
      </c>
    </row>
    <row r="45" spans="2:8" ht="15" thickBot="1" x14ac:dyDescent="0.35">
      <c r="F45" s="40">
        <v>24.5</v>
      </c>
      <c r="G45" s="44">
        <v>11</v>
      </c>
      <c r="H45" s="41" t="s">
        <v>115</v>
      </c>
    </row>
    <row r="46" spans="2:8" ht="15" thickBot="1" x14ac:dyDescent="0.35">
      <c r="F46" s="40">
        <v>30</v>
      </c>
      <c r="G46" s="44">
        <v>12</v>
      </c>
      <c r="H46" s="41" t="s">
        <v>115</v>
      </c>
    </row>
  </sheetData>
  <mergeCells count="4">
    <mergeCell ref="B2:H2"/>
    <mergeCell ref="B1:H1"/>
    <mergeCell ref="B18:N18"/>
    <mergeCell ref="B17:N17"/>
  </mergeCells>
  <phoneticPr fontId="5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9"/>
  <dimension ref="A1:Q63"/>
  <sheetViews>
    <sheetView topLeftCell="A2" workbookViewId="0">
      <selection activeCell="R45" sqref="R45"/>
    </sheetView>
  </sheetViews>
  <sheetFormatPr baseColWidth="10" defaultColWidth="10.90625" defaultRowHeight="13.8" x14ac:dyDescent="0.25"/>
  <sheetData>
    <row r="1" spans="1:13" ht="14.4" x14ac:dyDescent="0.3">
      <c r="B1" s="291" t="s">
        <v>162</v>
      </c>
      <c r="C1" s="292"/>
      <c r="D1" s="292"/>
      <c r="E1" s="292"/>
      <c r="F1" s="292"/>
      <c r="G1" s="292"/>
      <c r="H1" s="293"/>
    </row>
    <row r="2" spans="1:13" ht="14.4" x14ac:dyDescent="0.3">
      <c r="B2" s="291" t="s">
        <v>14</v>
      </c>
      <c r="C2" s="292"/>
      <c r="D2" s="292"/>
      <c r="E2" s="292"/>
      <c r="F2" s="292"/>
      <c r="G2" s="292"/>
      <c r="H2" s="293"/>
    </row>
    <row r="3" spans="1:13" ht="14.4" x14ac:dyDescent="0.3">
      <c r="A3" s="76" t="s">
        <v>158</v>
      </c>
      <c r="B3" s="130" t="s">
        <v>168</v>
      </c>
      <c r="C3" s="130" t="s">
        <v>195</v>
      </c>
      <c r="D3" s="130" t="s">
        <v>196</v>
      </c>
      <c r="E3" s="130" t="s">
        <v>197</v>
      </c>
      <c r="F3" s="130" t="s">
        <v>198</v>
      </c>
      <c r="G3" s="130" t="s">
        <v>199</v>
      </c>
      <c r="H3" s="130" t="s">
        <v>200</v>
      </c>
    </row>
    <row r="4" spans="1:13" s="121" customFormat="1" ht="14.4" x14ac:dyDescent="0.3">
      <c r="A4" s="36"/>
      <c r="B4" s="77">
        <v>0.125</v>
      </c>
      <c r="C4" s="77">
        <v>0.25</v>
      </c>
      <c r="D4" s="77">
        <v>0.375</v>
      </c>
      <c r="E4" s="77">
        <v>0.5</v>
      </c>
      <c r="F4" s="77">
        <v>0.75</v>
      </c>
      <c r="G4" s="131">
        <v>1</v>
      </c>
      <c r="H4" s="77">
        <v>1.25</v>
      </c>
    </row>
    <row r="5" spans="1:13" ht="14.4" x14ac:dyDescent="0.3">
      <c r="A5" s="36">
        <v>0</v>
      </c>
      <c r="B5" s="2">
        <v>0</v>
      </c>
      <c r="C5" s="20">
        <v>0</v>
      </c>
      <c r="D5" s="2">
        <v>0</v>
      </c>
      <c r="E5" s="20">
        <v>0</v>
      </c>
      <c r="F5" s="2">
        <v>0</v>
      </c>
      <c r="G5" s="20">
        <v>0</v>
      </c>
      <c r="H5" s="20">
        <v>0</v>
      </c>
    </row>
    <row r="6" spans="1:13" ht="14.4" x14ac:dyDescent="0.3">
      <c r="A6" s="37">
        <v>0.1</v>
      </c>
      <c r="B6" s="7">
        <v>0</v>
      </c>
      <c r="C6" s="20">
        <f>0.2*0.125</f>
        <v>2.5000000000000001E-2</v>
      </c>
      <c r="D6" s="2">
        <f>0.5*0.125</f>
        <v>6.25E-2</v>
      </c>
      <c r="E6" s="20">
        <f>0.5*0.125</f>
        <v>6.25E-2</v>
      </c>
      <c r="F6" s="2">
        <f>1/8</f>
        <v>0.125</v>
      </c>
      <c r="G6" s="20">
        <v>0.125</v>
      </c>
      <c r="H6" s="20">
        <f>0.125+0.0625</f>
        <v>0.1875</v>
      </c>
    </row>
    <row r="7" spans="1:13" ht="14.4" x14ac:dyDescent="0.3">
      <c r="A7" s="36">
        <v>0.2</v>
      </c>
      <c r="B7" s="2">
        <v>0</v>
      </c>
      <c r="C7" s="20">
        <f>0.4*0.125</f>
        <v>0.05</v>
      </c>
      <c r="D7" s="2">
        <v>8.5000000000000006E-2</v>
      </c>
      <c r="E7" s="20">
        <v>0.125</v>
      </c>
      <c r="F7" s="2">
        <f>1/4</f>
        <v>0.25</v>
      </c>
      <c r="G7" s="20">
        <v>0.375</v>
      </c>
      <c r="H7" s="20">
        <f>0.375+0.0625</f>
        <v>0.4375</v>
      </c>
      <c r="J7" s="42" t="s">
        <v>167</v>
      </c>
      <c r="K7" s="87" t="s">
        <v>14</v>
      </c>
      <c r="L7" t="s">
        <v>149</v>
      </c>
      <c r="M7" t="s">
        <v>168</v>
      </c>
    </row>
    <row r="8" spans="1:13" ht="14.4" x14ac:dyDescent="0.3">
      <c r="A8" s="37">
        <v>0.3</v>
      </c>
      <c r="B8" s="2">
        <f>0.1*0.125</f>
        <v>1.2500000000000001E-2</v>
      </c>
      <c r="C8" s="20">
        <f>0.6*0.125</f>
        <v>7.4999999999999997E-2</v>
      </c>
      <c r="D8" s="2">
        <f>0.125+0.125*0.5</f>
        <v>0.1875</v>
      </c>
      <c r="E8" s="20">
        <v>0.25</v>
      </c>
      <c r="F8" s="2">
        <f>3/8</f>
        <v>0.375</v>
      </c>
      <c r="G8" s="20">
        <f>0.5+0.0625</f>
        <v>0.5625</v>
      </c>
      <c r="H8" s="20">
        <v>0.75</v>
      </c>
      <c r="J8" s="41">
        <f>0.2*0.125+0.25</f>
        <v>0.27500000000000002</v>
      </c>
      <c r="K8" s="30">
        <v>0.125</v>
      </c>
      <c r="L8" t="s">
        <v>171</v>
      </c>
      <c r="M8">
        <f>+C.granul.max.g3[[#This Row],[@]]+1</f>
        <v>1.125</v>
      </c>
    </row>
    <row r="9" spans="1:13" ht="14.4" x14ac:dyDescent="0.3">
      <c r="A9" s="36">
        <v>0.4</v>
      </c>
      <c r="B9" s="2">
        <f>0.2*0.125</f>
        <v>2.5000000000000001E-2</v>
      </c>
      <c r="C9" s="20">
        <v>0.125</v>
      </c>
      <c r="D9" s="2">
        <v>0.25</v>
      </c>
      <c r="E9" s="20">
        <v>0.375</v>
      </c>
      <c r="F9" s="2">
        <f>0.5+0.125*0.5</f>
        <v>0.5625</v>
      </c>
      <c r="G9" s="20">
        <f>0.75+0.0625</f>
        <v>0.8125</v>
      </c>
      <c r="H9" s="20">
        <f>1+0.0625</f>
        <v>1.0625</v>
      </c>
      <c r="J9" s="40">
        <f>0.375+0.125*0.5</f>
        <v>0.4375</v>
      </c>
      <c r="K9" s="30">
        <v>0.25</v>
      </c>
      <c r="L9" s="75" t="s">
        <v>171</v>
      </c>
      <c r="M9">
        <f>+C.granul.max.g3[[#This Row],[@]]+1</f>
        <v>1.25</v>
      </c>
    </row>
    <row r="10" spans="1:13" ht="14.4" x14ac:dyDescent="0.3">
      <c r="A10" s="37">
        <v>0.5</v>
      </c>
      <c r="B10" s="2">
        <f>0.3*0.125</f>
        <v>3.7499999999999999E-2</v>
      </c>
      <c r="C10" s="20">
        <f>0.125+0.5*0.125</f>
        <v>0.1875</v>
      </c>
      <c r="D10" s="2">
        <f>0.25+0.5*0.125</f>
        <v>0.3125</v>
      </c>
      <c r="E10" s="20">
        <f>0.375+0.125/2</f>
        <v>0.4375</v>
      </c>
      <c r="F10" s="2">
        <f>5/8+0.5*0.125</f>
        <v>0.6875</v>
      </c>
      <c r="G10" s="20">
        <v>1</v>
      </c>
      <c r="H10" s="20">
        <f>1+0.25</f>
        <v>1.25</v>
      </c>
      <c r="J10" s="41">
        <f>5/8</f>
        <v>0.625</v>
      </c>
      <c r="K10" s="30">
        <v>0.375</v>
      </c>
      <c r="L10" s="75" t="s">
        <v>171</v>
      </c>
      <c r="M10">
        <f>+C.granul.max.g3[[#This Row],[@]]+1</f>
        <v>1.375</v>
      </c>
    </row>
    <row r="11" spans="1:13" ht="14.4" x14ac:dyDescent="0.3">
      <c r="A11" s="36">
        <v>0.6</v>
      </c>
      <c r="B11" s="2">
        <f>0.4*0.125</f>
        <v>0.05</v>
      </c>
      <c r="C11" s="20">
        <v>0.19</v>
      </c>
      <c r="D11" s="2">
        <f>3/8</f>
        <v>0.375</v>
      </c>
      <c r="E11" s="20">
        <v>0.5</v>
      </c>
      <c r="F11" s="2">
        <f>3/4</f>
        <v>0.75</v>
      </c>
      <c r="G11" s="20">
        <f>1+0.0625</f>
        <v>1.0625</v>
      </c>
      <c r="H11" s="2">
        <f>1+3/8</f>
        <v>1.375</v>
      </c>
      <c r="J11" s="40">
        <v>0.875</v>
      </c>
      <c r="K11" s="30">
        <v>0.5</v>
      </c>
      <c r="L11" s="75" t="s">
        <v>171</v>
      </c>
      <c r="M11">
        <f>+C.granul.max.g3[[#This Row],[@]]+1</f>
        <v>1.5</v>
      </c>
    </row>
    <row r="12" spans="1:13" ht="14.4" x14ac:dyDescent="0.3">
      <c r="A12" s="37">
        <v>0.7</v>
      </c>
      <c r="B12" s="2">
        <f>0.5*0.125</f>
        <v>6.25E-2</v>
      </c>
      <c r="C12" s="20">
        <f>0.5*0.125+0.125</f>
        <v>0.1875</v>
      </c>
      <c r="D12" s="2">
        <f>0.5*0.125+3/8</f>
        <v>0.4375</v>
      </c>
      <c r="E12" s="20">
        <f>0.5+0.125*0.5</f>
        <v>0.5625</v>
      </c>
      <c r="F12" s="2">
        <f>7/8</f>
        <v>0.875</v>
      </c>
      <c r="G12" s="20">
        <v>1.125</v>
      </c>
      <c r="H12" s="20">
        <f>1+0.375+0.0625</f>
        <v>1.4375</v>
      </c>
      <c r="J12" s="41">
        <f>9/8+1/8/2</f>
        <v>1.1875</v>
      </c>
      <c r="K12" s="30">
        <v>0.75</v>
      </c>
      <c r="L12" s="75" t="s">
        <v>171</v>
      </c>
      <c r="M12">
        <f>+C.granul.max.g3[[#This Row],[@]]+1</f>
        <v>1.75</v>
      </c>
    </row>
    <row r="13" spans="1:13" ht="14.4" x14ac:dyDescent="0.3">
      <c r="A13" s="36">
        <v>0.8</v>
      </c>
      <c r="B13" s="2">
        <f>0.9*0.125</f>
        <v>0.1125</v>
      </c>
      <c r="C13" s="20">
        <v>0.25</v>
      </c>
      <c r="D13" s="2">
        <v>0.5</v>
      </c>
      <c r="E13" s="20">
        <f>5/8+0.125*0.5</f>
        <v>0.6875</v>
      </c>
      <c r="F13" s="2">
        <f>7/8+0.125*0.5</f>
        <v>0.9375</v>
      </c>
      <c r="G13" s="20">
        <v>1.25</v>
      </c>
      <c r="H13" s="20">
        <f>1+0.5+0.0625</f>
        <v>1.5625</v>
      </c>
      <c r="J13" s="40">
        <v>1.51</v>
      </c>
      <c r="K13" s="30" t="str">
        <f>+TEXT(1,"# ?/?")</f>
        <v xml:space="preserve">1    </v>
      </c>
      <c r="L13" s="75" t="s">
        <v>171</v>
      </c>
      <c r="M13">
        <f>+C.granul.max.g3[[#This Row],[@]]+1</f>
        <v>2</v>
      </c>
    </row>
    <row r="14" spans="1:13" ht="14.4" x14ac:dyDescent="0.3">
      <c r="A14" s="37">
        <v>0.9</v>
      </c>
      <c r="B14" s="2">
        <f>0.4*0.125+0.125</f>
        <v>0.17499999999999999</v>
      </c>
      <c r="C14" s="20">
        <v>0.375</v>
      </c>
      <c r="D14" s="2">
        <f>0.5+0.125*0.5</f>
        <v>0.5625</v>
      </c>
      <c r="E14" s="20">
        <v>0.75</v>
      </c>
      <c r="F14" s="2">
        <f>1+0.125*0.5</f>
        <v>1.0625</v>
      </c>
      <c r="G14" s="20">
        <v>1.375</v>
      </c>
      <c r="H14" s="20">
        <f>1+0.625+0.0625</f>
        <v>1.6875</v>
      </c>
      <c r="J14" s="40">
        <f>1+0.875</f>
        <v>1.875</v>
      </c>
      <c r="K14" s="30" t="str">
        <f>+TEXT(1.25,"# ?/?")</f>
        <v>1 1/4</v>
      </c>
      <c r="L14" s="75" t="s">
        <v>171</v>
      </c>
      <c r="M14">
        <f>+C.granul.max.g3[[#This Row],[@]]+1</f>
        <v>2.25</v>
      </c>
    </row>
    <row r="15" spans="1:13" ht="14.4" x14ac:dyDescent="0.3">
      <c r="A15" s="38">
        <v>1</v>
      </c>
      <c r="B15" s="39">
        <f>0.2*0.125+0.25</f>
        <v>0.27500000000000002</v>
      </c>
      <c r="C15" s="27">
        <f>0.375+0.125*0.5</f>
        <v>0.4375</v>
      </c>
      <c r="D15" s="39">
        <f>5/8</f>
        <v>0.625</v>
      </c>
      <c r="E15" s="27">
        <v>0.875</v>
      </c>
      <c r="F15" s="39">
        <f>9/8+1/8/2</f>
        <v>1.1875</v>
      </c>
      <c r="G15" s="27">
        <v>1.51</v>
      </c>
      <c r="H15" s="27">
        <f>1+0.875</f>
        <v>1.875</v>
      </c>
    </row>
    <row r="18" spans="1:14" ht="14.4" x14ac:dyDescent="0.3">
      <c r="B18" s="294" t="s">
        <v>163</v>
      </c>
      <c r="C18" s="294"/>
      <c r="D18" s="294"/>
      <c r="E18" s="294"/>
      <c r="F18" s="294"/>
      <c r="G18" s="294"/>
      <c r="H18" s="294"/>
      <c r="I18" s="294"/>
    </row>
    <row r="19" spans="1:14" ht="14.4" x14ac:dyDescent="0.3">
      <c r="B19" s="294" t="s">
        <v>14</v>
      </c>
      <c r="C19" s="294"/>
      <c r="D19" s="294"/>
      <c r="E19" s="294"/>
      <c r="F19" s="294"/>
      <c r="G19" s="294"/>
      <c r="H19" s="294"/>
      <c r="I19" s="294"/>
      <c r="K19" s="42" t="s">
        <v>167</v>
      </c>
      <c r="L19" s="87" t="s">
        <v>14</v>
      </c>
      <c r="M19" t="s">
        <v>149</v>
      </c>
      <c r="N19" t="s">
        <v>168</v>
      </c>
    </row>
    <row r="20" spans="1:14" ht="14.4" x14ac:dyDescent="0.3">
      <c r="A20" s="80" t="s">
        <v>158</v>
      </c>
      <c r="B20" s="81">
        <v>0.25</v>
      </c>
      <c r="C20" s="82">
        <v>0.375</v>
      </c>
      <c r="D20" s="82">
        <v>0.5</v>
      </c>
      <c r="E20" s="81">
        <v>0.75</v>
      </c>
      <c r="F20" s="81">
        <v>1</v>
      </c>
      <c r="G20" s="81">
        <f>1+0.25</f>
        <v>1.25</v>
      </c>
      <c r="H20" s="81">
        <f>1+0.5</f>
        <v>1.5</v>
      </c>
      <c r="I20" s="81">
        <v>2</v>
      </c>
      <c r="K20" s="40">
        <f>0.375+0.125*0.5</f>
        <v>0.4375</v>
      </c>
      <c r="L20" s="30">
        <v>0.25</v>
      </c>
      <c r="M20" t="s">
        <v>169</v>
      </c>
      <c r="N20">
        <f>+C.granul.max.g4[[#This Row],[@]]+1</f>
        <v>1.25</v>
      </c>
    </row>
    <row r="21" spans="1:14" ht="14.4" x14ac:dyDescent="0.3">
      <c r="A21" s="83">
        <v>0</v>
      </c>
      <c r="B21" s="84">
        <v>0</v>
      </c>
      <c r="C21" s="85">
        <v>0</v>
      </c>
      <c r="D21" s="84">
        <v>0</v>
      </c>
      <c r="E21" s="85">
        <v>0</v>
      </c>
      <c r="F21" s="84">
        <v>0</v>
      </c>
      <c r="G21" s="84">
        <v>0</v>
      </c>
      <c r="H21" s="84">
        <v>0</v>
      </c>
      <c r="I21" s="84">
        <v>0</v>
      </c>
      <c r="K21" s="40">
        <f>5/8</f>
        <v>0.625</v>
      </c>
      <c r="L21" s="30">
        <v>0.375</v>
      </c>
      <c r="M21" s="75" t="s">
        <v>169</v>
      </c>
      <c r="N21">
        <f>+C.granul.max.g4[[#This Row],[@]]+1</f>
        <v>1.375</v>
      </c>
    </row>
    <row r="22" spans="1:14" ht="14.4" x14ac:dyDescent="0.3">
      <c r="A22" s="86">
        <v>0.1</v>
      </c>
      <c r="B22" s="84">
        <v>0</v>
      </c>
      <c r="C22" s="85">
        <f>0.5*0.125</f>
        <v>6.25E-2</v>
      </c>
      <c r="D22" s="84">
        <f>0.5*0.125</f>
        <v>6.25E-2</v>
      </c>
      <c r="E22" s="85">
        <f>1/8*3/4</f>
        <v>9.375E-2</v>
      </c>
      <c r="F22" s="84">
        <v>0.125</v>
      </c>
      <c r="G22" s="84">
        <f>0.125+0.0625</f>
        <v>0.1875</v>
      </c>
      <c r="H22" s="84">
        <f>0.25+0.0625</f>
        <v>0.3125</v>
      </c>
      <c r="I22" s="84">
        <v>0.5</v>
      </c>
      <c r="K22" s="40">
        <v>0.875</v>
      </c>
      <c r="L22" s="30">
        <v>0.5</v>
      </c>
      <c r="M22" s="75" t="s">
        <v>169</v>
      </c>
      <c r="N22">
        <f>+C.granul.max.g4[[#This Row],[@]]+1</f>
        <v>1.5</v>
      </c>
    </row>
    <row r="23" spans="1:14" ht="14.4" x14ac:dyDescent="0.3">
      <c r="A23" s="83">
        <v>0.2</v>
      </c>
      <c r="B23" s="84">
        <v>0</v>
      </c>
      <c r="C23" s="85">
        <v>8.5000000000000006E-2</v>
      </c>
      <c r="D23" s="84">
        <v>0.125</v>
      </c>
      <c r="E23" s="85">
        <f>1/4</f>
        <v>0.25</v>
      </c>
      <c r="F23" s="84">
        <v>0.375</v>
      </c>
      <c r="G23" s="84">
        <f>0.375+0.0625</f>
        <v>0.4375</v>
      </c>
      <c r="H23" s="84">
        <f>0.625+0.0625</f>
        <v>0.6875</v>
      </c>
      <c r="I23" s="84">
        <v>1</v>
      </c>
      <c r="K23" s="122">
        <f>9/8+1/8/2</f>
        <v>1.1875</v>
      </c>
      <c r="L23" s="30">
        <v>0.75</v>
      </c>
      <c r="M23" s="75" t="s">
        <v>169</v>
      </c>
      <c r="N23">
        <f>+C.granul.max.g4[[#This Row],[@]]+1</f>
        <v>1.75</v>
      </c>
    </row>
    <row r="24" spans="1:14" ht="14.4" x14ac:dyDescent="0.3">
      <c r="A24" s="86">
        <v>0.3</v>
      </c>
      <c r="B24" s="84">
        <v>6.25E-2</v>
      </c>
      <c r="C24" s="85">
        <f>0.125+0.125*0.5</f>
        <v>0.1875</v>
      </c>
      <c r="D24" s="84">
        <v>0.25</v>
      </c>
      <c r="E24" s="85">
        <f>3/8+0.25*1/8</f>
        <v>0.40625</v>
      </c>
      <c r="F24" s="84">
        <f>0.5+0.0625</f>
        <v>0.5625</v>
      </c>
      <c r="G24" s="84">
        <v>0.75</v>
      </c>
      <c r="H24" s="84">
        <v>1</v>
      </c>
      <c r="I24" s="84">
        <f>1+0.25</f>
        <v>1.25</v>
      </c>
      <c r="K24" s="40">
        <v>1.51</v>
      </c>
      <c r="L24" s="30" t="str">
        <f>+TEXT(1,"# ?/?")</f>
        <v xml:space="preserve">1    </v>
      </c>
      <c r="M24" s="75" t="s">
        <v>169</v>
      </c>
      <c r="N24">
        <f>+C.granul.max.g4[[#This Row],[@]]+1</f>
        <v>2</v>
      </c>
    </row>
    <row r="25" spans="1:14" ht="14.4" x14ac:dyDescent="0.3">
      <c r="A25" s="83">
        <v>0.4</v>
      </c>
      <c r="B25" s="84">
        <v>0.125</v>
      </c>
      <c r="C25" s="85">
        <v>0.25</v>
      </c>
      <c r="D25" s="84">
        <v>0.375</v>
      </c>
      <c r="E25" s="85">
        <f>(0.5+5/8)/2</f>
        <v>0.5625</v>
      </c>
      <c r="F25" s="84">
        <f>0.75+0.0625</f>
        <v>0.8125</v>
      </c>
      <c r="G25" s="84">
        <f>1+0.0625</f>
        <v>1.0625</v>
      </c>
      <c r="H25" s="84">
        <f>1+0.125+0.0625</f>
        <v>1.1875</v>
      </c>
      <c r="I25" s="84">
        <f>1+0.5+0.0625</f>
        <v>1.5625</v>
      </c>
      <c r="J25" s="121"/>
      <c r="K25" s="40">
        <f>1+0.875</f>
        <v>1.875</v>
      </c>
      <c r="L25" s="30" t="str">
        <f>TEXT(1+0.25,"# ?/?")</f>
        <v>1 1/4</v>
      </c>
      <c r="M25" s="75" t="s">
        <v>169</v>
      </c>
      <c r="N25">
        <f>+C.granul.max.g4[[#This Row],[@]]+1</f>
        <v>2.25</v>
      </c>
    </row>
    <row r="26" spans="1:14" ht="14.4" x14ac:dyDescent="0.3">
      <c r="A26" s="86">
        <v>0.5</v>
      </c>
      <c r="B26" s="84">
        <v>0.125</v>
      </c>
      <c r="C26" s="85">
        <f>0.25+0.5*0.125</f>
        <v>0.3125</v>
      </c>
      <c r="D26" s="84">
        <f>0.375+0.125/2</f>
        <v>0.4375</v>
      </c>
      <c r="E26" s="85">
        <f>5/8+0.5*0.125</f>
        <v>0.6875</v>
      </c>
      <c r="F26" s="84">
        <v>1</v>
      </c>
      <c r="G26" s="84">
        <f>1+0.25</f>
        <v>1.25</v>
      </c>
      <c r="H26" s="84">
        <f>1+0.375</f>
        <v>1.375</v>
      </c>
      <c r="I26" s="84">
        <f>1+0.75+0.0625</f>
        <v>1.8125</v>
      </c>
      <c r="K26" s="40">
        <f>2+0.375</f>
        <v>2.375</v>
      </c>
      <c r="L26" s="30" t="str">
        <f>TEXT(1+0.5,"# ?/?")</f>
        <v>1 1/2</v>
      </c>
      <c r="M26" s="75" t="s">
        <v>169</v>
      </c>
      <c r="N26">
        <f>+C.granul.max.g4[[#This Row],[@]]+1</f>
        <v>2.5</v>
      </c>
    </row>
    <row r="27" spans="1:14" ht="14.4" x14ac:dyDescent="0.3">
      <c r="A27" s="83">
        <v>0.6</v>
      </c>
      <c r="B27" s="84">
        <f>0.125+0.0625</f>
        <v>0.1875</v>
      </c>
      <c r="C27" s="85">
        <f>3/8</f>
        <v>0.375</v>
      </c>
      <c r="D27" s="84">
        <v>0.5</v>
      </c>
      <c r="E27" s="85">
        <f>3/4+0.5*1/8</f>
        <v>0.8125</v>
      </c>
      <c r="F27" s="84">
        <f>1+0.0625</f>
        <v>1.0625</v>
      </c>
      <c r="G27" s="85">
        <f>1+3/8</f>
        <v>1.375</v>
      </c>
      <c r="H27" s="84">
        <f>1+0.5</f>
        <v>1.5</v>
      </c>
      <c r="I27" s="84">
        <v>2</v>
      </c>
      <c r="L27" s="30" t="str">
        <f>+TEXT(2,"# ?/?")</f>
        <v xml:space="preserve">2    </v>
      </c>
      <c r="M27" s="75" t="s">
        <v>169</v>
      </c>
      <c r="N27">
        <f>+C.granul.max.g4[[#This Row],[@]]+1</f>
        <v>3</v>
      </c>
    </row>
    <row r="28" spans="1:14" ht="14.4" x14ac:dyDescent="0.3">
      <c r="A28" s="86">
        <v>0.7</v>
      </c>
      <c r="B28" s="84">
        <v>0.25</v>
      </c>
      <c r="C28" s="85">
        <f>0.5*0.125+3/8</f>
        <v>0.4375</v>
      </c>
      <c r="D28" s="84">
        <f>0.5+0.125*0.5</f>
        <v>0.5625</v>
      </c>
      <c r="E28" s="85">
        <f>7/8+0.25*1/8</f>
        <v>0.90625</v>
      </c>
      <c r="F28" s="84">
        <v>1.125</v>
      </c>
      <c r="G28" s="84">
        <f>1+0.375+0.0625</f>
        <v>1.4375</v>
      </c>
      <c r="H28" s="84">
        <f>1+0.625+0.0625</f>
        <v>1.6875</v>
      </c>
      <c r="I28" s="84">
        <f>2+0.25</f>
        <v>2.25</v>
      </c>
    </row>
    <row r="29" spans="1:14" ht="14.4" x14ac:dyDescent="0.3">
      <c r="A29" s="83">
        <v>0.8</v>
      </c>
      <c r="B29" s="84">
        <f>0.25+0.0625</f>
        <v>0.3125</v>
      </c>
      <c r="C29" s="85">
        <v>0.5</v>
      </c>
      <c r="D29" s="84">
        <f>5/8+0.125*0.5</f>
        <v>0.6875</v>
      </c>
      <c r="E29" s="85">
        <f>1+1/16</f>
        <v>1.0625</v>
      </c>
      <c r="F29" s="84">
        <v>1.25</v>
      </c>
      <c r="G29" s="84">
        <f>1+0.5+0.0625</f>
        <v>1.5625</v>
      </c>
      <c r="H29" s="84">
        <f>1+0.875</f>
        <v>1.875</v>
      </c>
      <c r="I29" s="84">
        <f>2+0.5</f>
        <v>2.5</v>
      </c>
    </row>
    <row r="30" spans="1:14" ht="14.4" x14ac:dyDescent="0.3">
      <c r="A30" s="86">
        <v>0.9</v>
      </c>
      <c r="B30" s="84">
        <v>0.375</v>
      </c>
      <c r="C30" s="85">
        <f>0.5+0.125*0.5</f>
        <v>0.5625</v>
      </c>
      <c r="D30" s="84">
        <v>0.75</v>
      </c>
      <c r="E30" s="85">
        <f>1+1/8</f>
        <v>1.125</v>
      </c>
      <c r="F30" s="84">
        <v>1.375</v>
      </c>
      <c r="G30" s="84">
        <f>1+0.625+0.0625</f>
        <v>1.6875</v>
      </c>
      <c r="H30" s="84">
        <f>2+0.125</f>
        <v>2.125</v>
      </c>
      <c r="I30" s="129" t="s">
        <v>71</v>
      </c>
    </row>
    <row r="31" spans="1:14" ht="14.4" x14ac:dyDescent="0.3">
      <c r="A31" s="83">
        <v>1</v>
      </c>
      <c r="B31" s="84">
        <f>0.375+0.125*0.5</f>
        <v>0.4375</v>
      </c>
      <c r="C31" s="85">
        <f>5/8</f>
        <v>0.625</v>
      </c>
      <c r="D31" s="84">
        <v>0.875</v>
      </c>
      <c r="E31" s="85">
        <f>1.25+1/16</f>
        <v>1.3125</v>
      </c>
      <c r="F31" s="84">
        <v>1.51</v>
      </c>
      <c r="G31" s="84">
        <f>1+0.875</f>
        <v>1.875</v>
      </c>
      <c r="H31" s="84">
        <f>2+0.375</f>
        <v>2.375</v>
      </c>
      <c r="I31" s="129" t="s">
        <v>71</v>
      </c>
    </row>
    <row r="35" spans="1:16" ht="14.4" x14ac:dyDescent="0.3">
      <c r="B35" s="294" t="s">
        <v>164</v>
      </c>
      <c r="C35" s="294"/>
      <c r="D35" s="294"/>
      <c r="E35" s="294"/>
      <c r="F35" s="294"/>
      <c r="G35" s="294"/>
      <c r="H35" s="294"/>
      <c r="I35" s="294"/>
      <c r="J35" s="294"/>
      <c r="K35" s="294"/>
    </row>
    <row r="36" spans="1:16" ht="14.4" x14ac:dyDescent="0.3">
      <c r="B36" s="294" t="s">
        <v>14</v>
      </c>
      <c r="C36" s="294"/>
      <c r="D36" s="294"/>
      <c r="E36" s="294"/>
      <c r="F36" s="294"/>
      <c r="G36" s="294"/>
      <c r="H36" s="294"/>
      <c r="I36" s="294"/>
      <c r="J36" s="294"/>
      <c r="K36" s="294"/>
      <c r="M36" s="42" t="s">
        <v>167</v>
      </c>
      <c r="N36" s="87" t="s">
        <v>14</v>
      </c>
      <c r="O36" t="s">
        <v>168</v>
      </c>
      <c r="P36" t="s">
        <v>195</v>
      </c>
    </row>
    <row r="37" spans="1:16" ht="14.4" x14ac:dyDescent="0.3">
      <c r="A37" s="80" t="s">
        <v>158</v>
      </c>
      <c r="B37" s="82">
        <f>3/8</f>
        <v>0.375</v>
      </c>
      <c r="C37" s="82">
        <f>1/2</f>
        <v>0.5</v>
      </c>
      <c r="D37" s="82">
        <f>5/8</f>
        <v>0.625</v>
      </c>
      <c r="E37" s="82">
        <f>3/4</f>
        <v>0.75</v>
      </c>
      <c r="F37" s="82">
        <v>1</v>
      </c>
      <c r="G37" s="82">
        <f>1+1/4</f>
        <v>1.25</v>
      </c>
      <c r="H37" s="82">
        <f>1+1/2</f>
        <v>1.5</v>
      </c>
      <c r="I37" s="82">
        <f>1+3/4</f>
        <v>1.75</v>
      </c>
      <c r="J37" s="82">
        <v>2</v>
      </c>
      <c r="K37" s="82">
        <f>2+1/2</f>
        <v>2.5</v>
      </c>
      <c r="M37" s="85">
        <f>0.5*0.25+1/2</f>
        <v>0.625</v>
      </c>
      <c r="N37" s="82">
        <v>0.375</v>
      </c>
      <c r="O37" t="s">
        <v>170</v>
      </c>
      <c r="P37">
        <f>+C.granul.max.g5[[#This Row],[@]]+1</f>
        <v>1.375</v>
      </c>
    </row>
    <row r="38" spans="1:16" ht="14.4" x14ac:dyDescent="0.3">
      <c r="A38" s="83">
        <v>0</v>
      </c>
      <c r="B38" s="85">
        <v>0</v>
      </c>
      <c r="C38" s="85">
        <v>0</v>
      </c>
      <c r="D38" s="85">
        <v>0</v>
      </c>
      <c r="E38" s="85">
        <v>0</v>
      </c>
      <c r="F38" s="85">
        <v>0</v>
      </c>
      <c r="G38" s="85">
        <v>0</v>
      </c>
      <c r="H38" s="85">
        <v>0</v>
      </c>
      <c r="I38" s="85">
        <v>0</v>
      </c>
      <c r="J38" s="85">
        <v>0</v>
      </c>
      <c r="K38" s="85">
        <v>0</v>
      </c>
      <c r="M38" s="85">
        <f>0.2*0.25+3/4</f>
        <v>0.8</v>
      </c>
      <c r="N38" s="82">
        <v>0.5</v>
      </c>
      <c r="O38" s="75" t="s">
        <v>170</v>
      </c>
      <c r="P38">
        <f>+C.granul.max.g5[[#This Row],[@]]+1</f>
        <v>1.5</v>
      </c>
    </row>
    <row r="39" spans="1:16" ht="14.4" x14ac:dyDescent="0.3">
      <c r="A39" s="86">
        <v>0.1</v>
      </c>
      <c r="B39" s="85">
        <f>1/4*1/4</f>
        <v>6.25E-2</v>
      </c>
      <c r="C39" s="85">
        <f t="shared" ref="C39:D39" si="0">1/4*1/4</f>
        <v>6.25E-2</v>
      </c>
      <c r="D39" s="85">
        <f t="shared" si="0"/>
        <v>6.25E-2</v>
      </c>
      <c r="E39" s="85">
        <f>1/2*1/4</f>
        <v>0.125</v>
      </c>
      <c r="F39" s="85">
        <f t="shared" ref="F39:G39" si="1">1/2*1/4</f>
        <v>0.125</v>
      </c>
      <c r="G39" s="85">
        <f t="shared" si="1"/>
        <v>0.125</v>
      </c>
      <c r="H39" s="85">
        <f>1/4</f>
        <v>0.25</v>
      </c>
      <c r="I39" s="85">
        <f>1/4</f>
        <v>0.25</v>
      </c>
      <c r="J39" s="85">
        <f>1/4*0.5+1/4</f>
        <v>0.375</v>
      </c>
      <c r="K39" s="85">
        <f>1/2</f>
        <v>0.5</v>
      </c>
      <c r="M39" s="85">
        <v>1</v>
      </c>
      <c r="N39" s="82">
        <v>0.625</v>
      </c>
      <c r="O39" s="75" t="s">
        <v>170</v>
      </c>
      <c r="P39">
        <f>+C.granul.max.g5[[#This Row],[@]]+1</f>
        <v>1.625</v>
      </c>
    </row>
    <row r="40" spans="1:16" ht="14.4" x14ac:dyDescent="0.3">
      <c r="A40" s="83">
        <v>0.2</v>
      </c>
      <c r="B40" s="85">
        <f>0.4*1/4</f>
        <v>0.1</v>
      </c>
      <c r="C40" s="85">
        <f>0.5*1/4</f>
        <v>0.125</v>
      </c>
      <c r="D40" s="85">
        <f>0.6*1/4</f>
        <v>0.15</v>
      </c>
      <c r="E40" s="85">
        <f>1/4</f>
        <v>0.25</v>
      </c>
      <c r="F40" s="85">
        <f>0.2*1/4+1/4</f>
        <v>0.3</v>
      </c>
      <c r="G40" s="85">
        <f>1/4+1/8</f>
        <v>0.375</v>
      </c>
      <c r="H40" s="85">
        <f>1/2</f>
        <v>0.5</v>
      </c>
      <c r="I40" s="85">
        <f>1/2+1/8</f>
        <v>0.625</v>
      </c>
      <c r="J40" s="85">
        <f>3/4+1/8</f>
        <v>0.875</v>
      </c>
      <c r="K40" s="85">
        <f>1+1/8</f>
        <v>1.125</v>
      </c>
      <c r="M40" s="85">
        <f>0.8*0.25+1</f>
        <v>1.2</v>
      </c>
      <c r="N40" s="82">
        <v>0.75</v>
      </c>
      <c r="O40" s="75" t="s">
        <v>170</v>
      </c>
      <c r="P40">
        <f>+C.granul.max.g5[[#This Row],[@]]+1</f>
        <v>1.75</v>
      </c>
    </row>
    <row r="41" spans="1:16" ht="14.4" x14ac:dyDescent="0.3">
      <c r="A41" s="86">
        <v>0.3</v>
      </c>
      <c r="B41" s="85">
        <f>1/8</f>
        <v>0.125</v>
      </c>
      <c r="C41" s="85">
        <f>0.7*1/4</f>
        <v>0.17499999999999999</v>
      </c>
      <c r="D41" s="85">
        <f>1/4</f>
        <v>0.25</v>
      </c>
      <c r="E41" s="85">
        <f>0.5*1/4+1/4</f>
        <v>0.375</v>
      </c>
      <c r="F41" s="85">
        <f>1/2</f>
        <v>0.5</v>
      </c>
      <c r="G41" s="85">
        <f>0.6*1/4+1/2</f>
        <v>0.65</v>
      </c>
      <c r="H41" s="85">
        <f>0.5*1/4+3/4</f>
        <v>0.875</v>
      </c>
      <c r="I41" s="85">
        <f>1/8+1</f>
        <v>1.125</v>
      </c>
      <c r="J41" s="85">
        <f>0.4*1/4+1+1/4</f>
        <v>1.35</v>
      </c>
      <c r="K41" s="85">
        <f>0.2*1/4+1+1/2</f>
        <v>1.55</v>
      </c>
      <c r="M41" s="85">
        <f>0.1*0.25+1+1/2</f>
        <v>1.5249999999999999</v>
      </c>
      <c r="N41" s="82" t="str">
        <f>+TEXT(1,"# ?/?")</f>
        <v xml:space="preserve">1    </v>
      </c>
      <c r="O41" s="75" t="s">
        <v>170</v>
      </c>
      <c r="P41">
        <f>+C.granul.max.g5[[#This Row],[@]]+1</f>
        <v>2</v>
      </c>
    </row>
    <row r="42" spans="1:16" ht="14.4" x14ac:dyDescent="0.3">
      <c r="A42" s="83">
        <v>0.4</v>
      </c>
      <c r="B42" s="85">
        <f>0.8*1/4</f>
        <v>0.2</v>
      </c>
      <c r="C42" s="85">
        <f>1/4</f>
        <v>0.25</v>
      </c>
      <c r="D42" s="85">
        <f>0.4*1/4+1/4</f>
        <v>0.35</v>
      </c>
      <c r="E42" s="85">
        <f>1/2</f>
        <v>0.5</v>
      </c>
      <c r="F42" s="85">
        <f>0.8*1/4+1/2</f>
        <v>0.7</v>
      </c>
      <c r="G42" s="85">
        <f>0.9*1/4+3/4</f>
        <v>0.97499999999999998</v>
      </c>
      <c r="H42" s="85">
        <f>1+1/4</f>
        <v>1.25</v>
      </c>
      <c r="I42" s="85">
        <f>1+1/2</f>
        <v>1.5</v>
      </c>
      <c r="J42" s="85">
        <f>0.5*1/4+1+1/2</f>
        <v>1.625</v>
      </c>
      <c r="K42" s="85">
        <f>0.5*1/4+1+3/4</f>
        <v>1.875</v>
      </c>
      <c r="M42" s="85">
        <f>0.4*0.25+1+3/4</f>
        <v>1.85</v>
      </c>
      <c r="N42" s="82" t="str">
        <f>TEXT(1+1/4,"# ?/?")</f>
        <v>1 1/4</v>
      </c>
      <c r="O42" s="75" t="s">
        <v>170</v>
      </c>
      <c r="P42">
        <f>+C.granul.max.g5[[#This Row],[@]]+1</f>
        <v>2.25</v>
      </c>
    </row>
    <row r="43" spans="1:16" ht="14.4" x14ac:dyDescent="0.3">
      <c r="A43" s="86">
        <v>0.5</v>
      </c>
      <c r="B43" s="85">
        <f>1/4</f>
        <v>0.25</v>
      </c>
      <c r="C43" s="85">
        <f>0.3*1/4+1/4</f>
        <v>0.32500000000000001</v>
      </c>
      <c r="D43" s="85">
        <f>0.8*1/4+1/4</f>
        <v>0.45</v>
      </c>
      <c r="E43" s="85">
        <f>0.5*1/4+1/2</f>
        <v>0.625</v>
      </c>
      <c r="F43" s="85">
        <f>3/4+0.5*1/4</f>
        <v>0.875</v>
      </c>
      <c r="G43" s="85">
        <f>0.7*0.25+1</f>
        <v>1.175</v>
      </c>
      <c r="H43" s="85">
        <f>0.8*0.25+1+1/4</f>
        <v>1.45</v>
      </c>
      <c r="I43" s="85">
        <f>0.8*0.25+1+1/2</f>
        <v>1.7</v>
      </c>
      <c r="J43" s="85">
        <f>0.5*0.25+1+3/4</f>
        <v>1.875</v>
      </c>
      <c r="K43" s="85">
        <f>0.8*0.25+2</f>
        <v>2.2000000000000002</v>
      </c>
      <c r="M43" s="85">
        <f>2+1/4</f>
        <v>2.25</v>
      </c>
      <c r="N43" s="82" t="str">
        <f>TEXT(1+1/2,"# ?/?")</f>
        <v>1 1/2</v>
      </c>
      <c r="O43" s="75" t="s">
        <v>170</v>
      </c>
      <c r="P43">
        <f>+C.granul.max.g5[[#This Row],[@]]+1</f>
        <v>2.5</v>
      </c>
    </row>
    <row r="44" spans="1:16" ht="14.4" x14ac:dyDescent="0.3">
      <c r="A44" s="83">
        <v>0.6</v>
      </c>
      <c r="B44" s="85">
        <f>0.1*0.25+1/4</f>
        <v>0.27500000000000002</v>
      </c>
      <c r="C44" s="85">
        <f>0.5*0.25+1/4</f>
        <v>0.375</v>
      </c>
      <c r="D44" s="85">
        <f>1/2+0.1*1/4</f>
        <v>0.52500000000000002</v>
      </c>
      <c r="E44" s="85">
        <f>0.9*0.25+1/2</f>
        <v>0.72499999999999998</v>
      </c>
      <c r="F44" s="85">
        <f>0.1*0.25+1</f>
        <v>1.0249999999999999</v>
      </c>
      <c r="G44" s="85">
        <f>0.3*0.25+1+1/4</f>
        <v>1.325</v>
      </c>
      <c r="H44" s="85">
        <f>0.4*0.25+1+1/2</f>
        <v>1.6</v>
      </c>
      <c r="I44" s="85">
        <f>0.5*0.25+1+3/4</f>
        <v>1.875</v>
      </c>
      <c r="J44" s="85">
        <f>0.5*0.25+2</f>
        <v>2.125</v>
      </c>
      <c r="K44" s="85">
        <f>2+1/2</f>
        <v>2.5</v>
      </c>
      <c r="M44" s="85">
        <f>0.9*0.25+2+1/2</f>
        <v>2.7250000000000001</v>
      </c>
      <c r="N44" s="82" t="str">
        <f>TEXT(1+3/4,"# ?/?")</f>
        <v>1 3/4</v>
      </c>
      <c r="O44" s="75" t="s">
        <v>170</v>
      </c>
      <c r="P44">
        <f>+C.granul.max.g5[[#This Row],[@]]+1</f>
        <v>2.75</v>
      </c>
    </row>
    <row r="45" spans="1:16" ht="14.4" x14ac:dyDescent="0.3">
      <c r="A45" s="86">
        <v>0.7</v>
      </c>
      <c r="B45" s="85">
        <f>0.3*0.25+1/4</f>
        <v>0.32500000000000001</v>
      </c>
      <c r="C45" s="85">
        <f>0.9*0.25+1/4</f>
        <v>0.47499999999999998</v>
      </c>
      <c r="D45" s="85">
        <f>0.5*0.25+1/2</f>
        <v>0.625</v>
      </c>
      <c r="E45" s="85">
        <f>0.3*0.25+3/4</f>
        <v>0.82499999999999996</v>
      </c>
      <c r="F45" s="85">
        <f>0.5*0.25+1</f>
        <v>1.125</v>
      </c>
      <c r="G45" s="85">
        <f>0.8*0.25+1+1/4</f>
        <v>1.45</v>
      </c>
      <c r="H45" s="85">
        <f>1+3/4</f>
        <v>1.75</v>
      </c>
      <c r="I45" s="85">
        <f>0.2*0.25+2</f>
        <v>2.0499999999999998</v>
      </c>
      <c r="J45" s="85">
        <f>0.3*0.25+2+1/4</f>
        <v>2.3250000000000002</v>
      </c>
      <c r="K45" s="85">
        <f>0.3*0.25+2+3/4</f>
        <v>2.8250000000000002</v>
      </c>
      <c r="M45" s="85">
        <f>0.4*0.25+3+0.5</f>
        <v>3.6</v>
      </c>
      <c r="N45" s="82" t="str">
        <f>+TEXT(2,"# ?/?")</f>
        <v xml:space="preserve">2    </v>
      </c>
      <c r="O45" s="75" t="s">
        <v>170</v>
      </c>
      <c r="P45">
        <f>+C.granul.max.g5[[#This Row],[@]]+1</f>
        <v>3</v>
      </c>
    </row>
    <row r="46" spans="1:16" ht="14.4" x14ac:dyDescent="0.3">
      <c r="A46" s="83">
        <v>0.8</v>
      </c>
      <c r="B46" s="85">
        <f>0.6*0.25+1/4</f>
        <v>0.4</v>
      </c>
      <c r="C46" s="85">
        <f>0.2*0.25+1/2</f>
        <v>0.55000000000000004</v>
      </c>
      <c r="D46" s="85">
        <f>0.9*0.25+1/2</f>
        <v>0.72499999999999998</v>
      </c>
      <c r="E46" s="85">
        <f>0.7*0.25+3/4</f>
        <v>0.92500000000000004</v>
      </c>
      <c r="F46" s="85">
        <f>1+1/4</f>
        <v>1.25</v>
      </c>
      <c r="G46" s="85">
        <f>0.3*0.25+1+1/2</f>
        <v>1.575</v>
      </c>
      <c r="H46" s="85">
        <f>0.5*0.25+1+3/4</f>
        <v>1.875</v>
      </c>
      <c r="I46" s="85">
        <f>0.8*0.25+2</f>
        <v>2.2000000000000002</v>
      </c>
      <c r="J46" s="85">
        <f>0.4*0.25+2+1/2</f>
        <v>2.6</v>
      </c>
      <c r="K46" s="85">
        <f>0.6*0.25+3</f>
        <v>3.15</v>
      </c>
      <c r="N46" s="82" t="str">
        <f>TEXT(2+1/2,"# ?/?")</f>
        <v>2 1/2</v>
      </c>
      <c r="O46" s="75" t="s">
        <v>170</v>
      </c>
      <c r="P46">
        <f>+C.granul.max.g5[[#This Row],[@]]+1</f>
        <v>3.5</v>
      </c>
    </row>
    <row r="47" spans="1:16" ht="14.4" x14ac:dyDescent="0.3">
      <c r="A47" s="86">
        <v>0.9</v>
      </c>
      <c r="B47" s="85">
        <v>0.5</v>
      </c>
      <c r="C47" s="85">
        <f>0.6*0.25+1/2</f>
        <v>0.65</v>
      </c>
      <c r="D47" s="85">
        <f>0.4*0.25+3/4</f>
        <v>0.85</v>
      </c>
      <c r="E47" s="85">
        <f>0.3*0.25+1</f>
        <v>1.075</v>
      </c>
      <c r="F47" s="85">
        <f>0.5*0.25+1+1/4</f>
        <v>1.375</v>
      </c>
      <c r="G47" s="85">
        <f>0.8*0.25+1+1/2</f>
        <v>1.7</v>
      </c>
      <c r="H47" s="85">
        <f>0.3*0.25+2</f>
        <v>2.0750000000000002</v>
      </c>
      <c r="I47" s="85">
        <f>0.6*0.25+2+1/4</f>
        <v>2.4</v>
      </c>
      <c r="J47" s="85">
        <v>3</v>
      </c>
      <c r="K47" s="85">
        <f>0.5*0.25+3+1/2</f>
        <v>3.625</v>
      </c>
    </row>
    <row r="48" spans="1:16" ht="14.4" x14ac:dyDescent="0.3">
      <c r="A48" s="83">
        <v>1</v>
      </c>
      <c r="B48" s="85">
        <f>0.5*0.25+1/2</f>
        <v>0.625</v>
      </c>
      <c r="C48" s="85">
        <f>0.2*0.25+3/4</f>
        <v>0.8</v>
      </c>
      <c r="D48" s="85">
        <v>1</v>
      </c>
      <c r="E48" s="85">
        <f>0.8*0.25+1</f>
        <v>1.2</v>
      </c>
      <c r="F48" s="85">
        <f>0.1*0.25+1+1/2</f>
        <v>1.5249999999999999</v>
      </c>
      <c r="G48" s="85">
        <f>0.4*0.25+1+3/4</f>
        <v>1.85</v>
      </c>
      <c r="H48" s="85">
        <f>2+1/4</f>
        <v>2.25</v>
      </c>
      <c r="I48" s="85">
        <f>0.9*0.25+2+1/2</f>
        <v>2.7250000000000001</v>
      </c>
      <c r="J48" s="85">
        <f>0.4*0.25+3+0.5</f>
        <v>3.6</v>
      </c>
      <c r="K48" s="85" t="s">
        <v>71</v>
      </c>
    </row>
    <row r="50" spans="1:17" ht="14.4" x14ac:dyDescent="0.3">
      <c r="B50" s="294" t="s">
        <v>165</v>
      </c>
      <c r="C50" s="294"/>
      <c r="D50" s="294"/>
      <c r="E50" s="294"/>
      <c r="F50" s="294"/>
      <c r="G50" s="294"/>
      <c r="H50" s="294"/>
      <c r="I50" s="294"/>
      <c r="J50" s="294"/>
      <c r="K50" s="294"/>
      <c r="L50" s="294"/>
    </row>
    <row r="51" spans="1:17" ht="14.4" x14ac:dyDescent="0.3">
      <c r="B51" s="294" t="s">
        <v>14</v>
      </c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N51" s="42" t="s">
        <v>167</v>
      </c>
      <c r="O51" s="87" t="s">
        <v>14</v>
      </c>
      <c r="P51" t="s">
        <v>168</v>
      </c>
      <c r="Q51" t="s">
        <v>195</v>
      </c>
    </row>
    <row r="52" spans="1:17" ht="14.4" x14ac:dyDescent="0.3">
      <c r="A52" s="80" t="s">
        <v>158</v>
      </c>
      <c r="B52" s="138">
        <f>3/8</f>
        <v>0.375</v>
      </c>
      <c r="C52" s="138">
        <f>1/2</f>
        <v>0.5</v>
      </c>
      <c r="D52" s="138">
        <f>5/8</f>
        <v>0.625</v>
      </c>
      <c r="E52" s="138">
        <f>3/4</f>
        <v>0.75</v>
      </c>
      <c r="F52" s="138">
        <v>1</v>
      </c>
      <c r="G52" s="138">
        <f>1+1/4</f>
        <v>1.25</v>
      </c>
      <c r="H52" s="138">
        <f>1+1/2</f>
        <v>1.5</v>
      </c>
      <c r="I52" s="138">
        <f>1+3/4</f>
        <v>1.75</v>
      </c>
      <c r="J52" s="138">
        <v>2</v>
      </c>
      <c r="K52" s="138">
        <f>2+1/4</f>
        <v>2.25</v>
      </c>
      <c r="L52" s="138">
        <f>2+1/2</f>
        <v>2.5</v>
      </c>
      <c r="N52" s="85">
        <f>0.5*0.25+1/2</f>
        <v>0.625</v>
      </c>
      <c r="O52" s="82">
        <v>0.375</v>
      </c>
      <c r="P52" t="s">
        <v>172</v>
      </c>
      <c r="Q52">
        <f>+C.granul.max.g6[[#This Row],[@]]+1</f>
        <v>1.375</v>
      </c>
    </row>
    <row r="53" spans="1:17" ht="14.4" x14ac:dyDescent="0.3">
      <c r="A53" s="83">
        <v>0</v>
      </c>
      <c r="B53" s="85">
        <v>0</v>
      </c>
      <c r="C53" s="85">
        <v>0</v>
      </c>
      <c r="D53" s="85">
        <v>0</v>
      </c>
      <c r="E53" s="85">
        <v>0</v>
      </c>
      <c r="F53" s="85">
        <v>0</v>
      </c>
      <c r="G53" s="85">
        <v>0</v>
      </c>
      <c r="H53" s="85">
        <v>0</v>
      </c>
      <c r="I53" s="85">
        <v>0</v>
      </c>
      <c r="J53" s="85">
        <v>0</v>
      </c>
      <c r="K53" s="85">
        <v>0</v>
      </c>
      <c r="L53" s="85">
        <v>0</v>
      </c>
      <c r="N53" s="85">
        <f>0.2*0.25+3/4</f>
        <v>0.8</v>
      </c>
      <c r="O53" s="82">
        <v>0.5</v>
      </c>
      <c r="P53" s="75" t="s">
        <v>172</v>
      </c>
      <c r="Q53">
        <f>+C.granul.max.g6[[#This Row],[@]]+1</f>
        <v>1.5</v>
      </c>
    </row>
    <row r="54" spans="1:17" ht="14.4" x14ac:dyDescent="0.3">
      <c r="A54" s="86">
        <v>0.1</v>
      </c>
      <c r="B54" s="75">
        <f>0.1*0.25</f>
        <v>2.5000000000000001E-2</v>
      </c>
      <c r="C54" s="75">
        <f>0.2*0.25</f>
        <v>0.05</v>
      </c>
      <c r="D54" s="75">
        <f>0.3*0.25</f>
        <v>7.4999999999999997E-2</v>
      </c>
      <c r="E54" s="75">
        <f>0.5*0.25</f>
        <v>0.125</v>
      </c>
      <c r="F54" s="75">
        <f>0.6*0.25</f>
        <v>0.15</v>
      </c>
      <c r="G54" s="75">
        <f>0.7*0.25</f>
        <v>0.17499999999999999</v>
      </c>
      <c r="H54" s="75">
        <f>0.9*0.25</f>
        <v>0.22500000000000001</v>
      </c>
      <c r="I54" s="75">
        <f>0.1*0.25+1/4</f>
        <v>0.27500000000000002</v>
      </c>
      <c r="J54" s="75">
        <f>0.4*0.25+1/4</f>
        <v>0.35</v>
      </c>
      <c r="K54" s="85">
        <f>1/2</f>
        <v>0.5</v>
      </c>
      <c r="L54" s="85">
        <f>1/2+0.25*0.2</f>
        <v>0.55000000000000004</v>
      </c>
      <c r="N54" s="85">
        <v>1</v>
      </c>
      <c r="O54" s="82">
        <v>0.625</v>
      </c>
      <c r="P54" s="75" t="s">
        <v>172</v>
      </c>
      <c r="Q54">
        <f>+C.granul.max.g6[[#This Row],[@]]+1</f>
        <v>1.625</v>
      </c>
    </row>
    <row r="55" spans="1:17" ht="14.4" x14ac:dyDescent="0.3">
      <c r="A55" s="83">
        <v>0.2</v>
      </c>
      <c r="B55" s="85">
        <f>1/4*1/4</f>
        <v>6.25E-2</v>
      </c>
      <c r="C55" s="85">
        <f>0.4*0.25</f>
        <v>0.1</v>
      </c>
      <c r="D55" s="85">
        <f>0.5*0.25</f>
        <v>0.125</v>
      </c>
      <c r="E55" s="85">
        <f>0.9*0.25</f>
        <v>0.22500000000000001</v>
      </c>
      <c r="F55" s="85">
        <f>0.1*0.25+1/4</f>
        <v>0.27500000000000002</v>
      </c>
      <c r="G55" s="85">
        <f>0.5*0.25+1/4</f>
        <v>0.375</v>
      </c>
      <c r="H55" s="85">
        <f>1/2</f>
        <v>0.5</v>
      </c>
      <c r="I55" s="85">
        <f>0.7*0.25+1/2</f>
        <v>0.67500000000000004</v>
      </c>
      <c r="J55" s="85">
        <f>0.4*0.25+3/4</f>
        <v>0.85</v>
      </c>
      <c r="K55" s="85">
        <f>0.3*0.25+1</f>
        <v>1.075</v>
      </c>
      <c r="L55" s="85">
        <f>1+1/4</f>
        <v>1.25</v>
      </c>
      <c r="N55" s="85">
        <f>1+1/4</f>
        <v>1.25</v>
      </c>
      <c r="O55" s="82">
        <v>0.75</v>
      </c>
      <c r="P55" s="75" t="s">
        <v>172</v>
      </c>
      <c r="Q55">
        <f>+C.granul.max.g6[[#This Row],[@]]+1</f>
        <v>1.75</v>
      </c>
    </row>
    <row r="56" spans="1:17" ht="14.4" x14ac:dyDescent="0.3">
      <c r="A56" s="86">
        <v>0.3</v>
      </c>
      <c r="B56" s="85">
        <f>0.4*0.25</f>
        <v>0.1</v>
      </c>
      <c r="C56" s="85">
        <f>0.6*0.25</f>
        <v>0.15</v>
      </c>
      <c r="D56" s="85">
        <f>0.9*0.25</f>
        <v>0.22500000000000001</v>
      </c>
      <c r="E56" s="85">
        <f>0.4*0.25+1/4</f>
        <v>0.35</v>
      </c>
      <c r="F56" s="85">
        <f>1/2</f>
        <v>0.5</v>
      </c>
      <c r="G56" s="85">
        <f>0.6*0.25+1/2</f>
        <v>0.65</v>
      </c>
      <c r="H56" s="85">
        <f>0.6*0.25+3/4</f>
        <v>0.9</v>
      </c>
      <c r="I56" s="85">
        <f>0.6*0.25+1</f>
        <v>1.1499999999999999</v>
      </c>
      <c r="J56" s="85">
        <f>0.3*0.25+1+1/4</f>
        <v>1.325</v>
      </c>
      <c r="K56" s="85">
        <f>0.2*0.25+1+1/2</f>
        <v>1.55</v>
      </c>
      <c r="L56" s="85">
        <f>0.1*0.25+1+3/4</f>
        <v>1.7749999999999999</v>
      </c>
      <c r="N56" s="85">
        <f>1+1/2+0.2*0.25</f>
        <v>1.55</v>
      </c>
      <c r="O56" s="82" t="str">
        <f>+TEXT(1,"# ?/?")</f>
        <v xml:space="preserve">1    </v>
      </c>
      <c r="P56" s="75" t="s">
        <v>172</v>
      </c>
      <c r="Q56">
        <f>+C.granul.max.g6[[#This Row],[@]]+1</f>
        <v>2</v>
      </c>
    </row>
    <row r="57" spans="1:17" ht="14.4" x14ac:dyDescent="0.3">
      <c r="A57" s="83">
        <v>0.4</v>
      </c>
      <c r="B57" s="85">
        <f>0.7*0.25</f>
        <v>0.17499999999999999</v>
      </c>
      <c r="C57" s="85">
        <f>1/4</f>
        <v>0.25</v>
      </c>
      <c r="D57" s="85">
        <f>0.3*0.25+1/4</f>
        <v>0.32500000000000001</v>
      </c>
      <c r="E57" s="85">
        <f>1/2</f>
        <v>0.5</v>
      </c>
      <c r="F57" s="85">
        <f>0.8*0.25+1/2</f>
        <v>0.7</v>
      </c>
      <c r="G57" s="85">
        <f>0.8*0.25+3/4</f>
        <v>0.95</v>
      </c>
      <c r="H57" s="85">
        <f>0.9*0.25+1</f>
        <v>1.2250000000000001</v>
      </c>
      <c r="I57" s="85">
        <f>0.9*0.25+1+1/4</f>
        <v>1.4750000000000001</v>
      </c>
      <c r="J57" s="85">
        <f>0.6*0.25+1+1/2</f>
        <v>1.65</v>
      </c>
      <c r="K57" s="85">
        <f>0.5*0.25+1+3/4</f>
        <v>1.875</v>
      </c>
      <c r="L57" s="85">
        <f>0.5*0.25+2</f>
        <v>2.125</v>
      </c>
      <c r="N57" s="85">
        <f>0.3*0.25+1+3/4</f>
        <v>1.825</v>
      </c>
      <c r="O57" s="82" t="str">
        <f>TEXT(1+1/4,"# ?/?")</f>
        <v>1 1/4</v>
      </c>
      <c r="P57" s="75" t="s">
        <v>172</v>
      </c>
      <c r="Q57">
        <f>+C.granul.max.g6[[#This Row],[@]]+1</f>
        <v>2.25</v>
      </c>
    </row>
    <row r="58" spans="1:17" ht="14.4" x14ac:dyDescent="0.3">
      <c r="A58" s="86">
        <v>0.5</v>
      </c>
      <c r="B58" s="85">
        <f>0.9*0.25</f>
        <v>0.22500000000000001</v>
      </c>
      <c r="C58" s="85">
        <f>0.2*0.25+1/4</f>
        <v>0.3</v>
      </c>
      <c r="D58" s="85">
        <f>0.7*0.25+1/4</f>
        <v>0.42499999999999999</v>
      </c>
      <c r="E58" s="85">
        <f>0.5*0.25+1/2</f>
        <v>0.625</v>
      </c>
      <c r="F58" s="85">
        <f>0.4*0.25+3/4</f>
        <v>0.85</v>
      </c>
      <c r="G58" s="85">
        <f>0.6*0.25+1</f>
        <v>1.1499999999999999</v>
      </c>
      <c r="H58" s="85">
        <f>0.7*0.25+1+1/4</f>
        <v>1.425</v>
      </c>
      <c r="I58" s="85">
        <f>0.7*0.25+1+1/2</f>
        <v>1.675</v>
      </c>
      <c r="J58" s="85">
        <f>0.6*0.25+1+3/4</f>
        <v>1.9</v>
      </c>
      <c r="K58" s="85">
        <f>0.7*0.25+2</f>
        <v>2.1749999999999998</v>
      </c>
      <c r="L58" s="85">
        <f>0.7*0.25+2+1/4</f>
        <v>2.4249999999999998</v>
      </c>
      <c r="N58" s="85">
        <f>0.9*0.25+2</f>
        <v>2.2250000000000001</v>
      </c>
      <c r="O58" s="82" t="str">
        <f>TEXT(1+1/2,"# ?/?")</f>
        <v>1 1/2</v>
      </c>
      <c r="P58" s="75" t="s">
        <v>172</v>
      </c>
      <c r="Q58">
        <f>+C.granul.max.g6[[#This Row],[@]]+1</f>
        <v>2.5</v>
      </c>
    </row>
    <row r="59" spans="1:17" ht="14.4" x14ac:dyDescent="0.3">
      <c r="A59" s="83">
        <v>0.6</v>
      </c>
      <c r="B59" s="85">
        <f>0.1*0.25+1/4</f>
        <v>0.27500000000000002</v>
      </c>
      <c r="C59" s="85">
        <f>0.5*0.25+1/4</f>
        <v>0.375</v>
      </c>
      <c r="D59" s="85">
        <f>0.1*0.25+1/2</f>
        <v>0.52500000000000002</v>
      </c>
      <c r="E59" s="85">
        <f>3/4</f>
        <v>0.75</v>
      </c>
      <c r="F59" s="85">
        <v>1</v>
      </c>
      <c r="G59" s="85">
        <f>0.3*0.25+1+1/4</f>
        <v>1.325</v>
      </c>
      <c r="H59" s="85">
        <f>0.4*0.25+1+1/2</f>
        <v>1.6</v>
      </c>
      <c r="I59" s="85">
        <f>0.3*0.25+1+3/4</f>
        <v>1.825</v>
      </c>
      <c r="J59" s="85">
        <f>0.4*0.25+2</f>
        <v>2.1</v>
      </c>
      <c r="K59" s="85">
        <f>0.6*0.25+2+1/4</f>
        <v>2.4</v>
      </c>
      <c r="L59" s="85">
        <f>0.6*0.25+2+1/2</f>
        <v>2.65</v>
      </c>
      <c r="N59" s="85">
        <f>0.8*0.25+2+1/2</f>
        <v>2.7</v>
      </c>
      <c r="O59" s="82" t="str">
        <f>TEXT(1+3/4,"# ?/?")</f>
        <v>1 3/4</v>
      </c>
      <c r="P59" s="75" t="s">
        <v>172</v>
      </c>
      <c r="Q59">
        <f>+C.granul.max.g6[[#This Row],[@]]+1</f>
        <v>2.75</v>
      </c>
    </row>
    <row r="60" spans="1:17" ht="14.4" x14ac:dyDescent="0.3">
      <c r="A60" s="86">
        <v>0.7</v>
      </c>
      <c r="B60" s="85">
        <f>0.3*0.25+1/4</f>
        <v>0.32500000000000001</v>
      </c>
      <c r="C60" s="85">
        <f>0.9*0.25+1/4</f>
        <v>0.47499999999999998</v>
      </c>
      <c r="D60" s="85">
        <f>0.5*0.25+1/2</f>
        <v>0.625</v>
      </c>
      <c r="E60" s="85">
        <f>0.4*0.25+3/4</f>
        <v>0.85</v>
      </c>
      <c r="F60" s="85">
        <f>0.5*0.25+1</f>
        <v>1.125</v>
      </c>
      <c r="G60" s="85">
        <f>0.8*0.25+1+1/4</f>
        <v>1.45</v>
      </c>
      <c r="H60" s="85">
        <f>1+3/4</f>
        <v>1.75</v>
      </c>
      <c r="I60" s="85">
        <v>2</v>
      </c>
      <c r="J60" s="85">
        <f>0.2*0.25+2+1/4</f>
        <v>2.2999999999999998</v>
      </c>
      <c r="K60" s="85">
        <f>0.4*0.25+2+1/2</f>
        <v>2.6</v>
      </c>
      <c r="L60" s="85">
        <f>0.5*0.25+2+3/4</f>
        <v>2.875</v>
      </c>
      <c r="N60" s="85">
        <f>3+0.5*0.25</f>
        <v>3.125</v>
      </c>
      <c r="O60" s="82">
        <v>2</v>
      </c>
      <c r="P60" s="75" t="s">
        <v>172</v>
      </c>
      <c r="Q60">
        <f>+C.granul.max.g6[[#This Row],[@]]+1</f>
        <v>3</v>
      </c>
    </row>
    <row r="61" spans="1:17" ht="14.4" x14ac:dyDescent="0.3">
      <c r="A61" s="83">
        <v>0.8</v>
      </c>
      <c r="B61" s="85">
        <f>0.6*0.25+1/4</f>
        <v>0.4</v>
      </c>
      <c r="C61" s="85">
        <f>0.2*0.25+1/2</f>
        <v>0.55000000000000004</v>
      </c>
      <c r="D61" s="85">
        <f>0.9*0.25+1/2</f>
        <v>0.72499999999999998</v>
      </c>
      <c r="E61" s="85">
        <f>0.8*0.25+3/4</f>
        <v>0.95</v>
      </c>
      <c r="F61" s="85">
        <f>1+1/4</f>
        <v>1.25</v>
      </c>
      <c r="G61" s="85">
        <f>0.2*0.25+1+1/2</f>
        <v>1.55</v>
      </c>
      <c r="H61" s="85">
        <f>0.5*0.25+1+3/4</f>
        <v>1.875</v>
      </c>
      <c r="I61" s="85">
        <f>0.8*0.25+2</f>
        <v>2.2000000000000002</v>
      </c>
      <c r="J61" s="85">
        <f>2+1/2</f>
        <v>2.5</v>
      </c>
      <c r="K61" s="85">
        <f>0.3*0.25+2+3/4</f>
        <v>2.8250000000000002</v>
      </c>
      <c r="L61" s="85">
        <f>0.25*0.6+3</f>
        <v>3.15</v>
      </c>
      <c r="N61" s="85">
        <f>3+1/2</f>
        <v>3.5</v>
      </c>
      <c r="O61" s="82" t="str">
        <f>TEXT(2+1/4,"# ?/?")</f>
        <v>2 1/4</v>
      </c>
      <c r="P61" s="75" t="s">
        <v>172</v>
      </c>
      <c r="Q61">
        <f>+C.granul.max.g6[[#This Row],[@]]+1</f>
        <v>3.25</v>
      </c>
    </row>
    <row r="62" spans="1:17" ht="14.4" x14ac:dyDescent="0.3">
      <c r="A62" s="86">
        <v>0.9</v>
      </c>
      <c r="B62" s="85">
        <f>1/2</f>
        <v>0.5</v>
      </c>
      <c r="C62" s="85">
        <f>0.5*0.25+1/2</f>
        <v>0.625</v>
      </c>
      <c r="D62" s="85">
        <f>0.4*0.25+3/4</f>
        <v>0.85</v>
      </c>
      <c r="E62" s="85">
        <f>0.4*0.25+1</f>
        <v>1.1000000000000001</v>
      </c>
      <c r="F62" s="85">
        <f>0.5*0.25+1+1/4</f>
        <v>1.375</v>
      </c>
      <c r="G62" s="85">
        <f>0.8*0.25+1+1/2</f>
        <v>1.7</v>
      </c>
      <c r="H62" s="85">
        <f>0.2*0.25+2</f>
        <v>2.0499999999999998</v>
      </c>
      <c r="I62" s="85">
        <f>0.6*0.25+2+1/4</f>
        <v>2.4</v>
      </c>
      <c r="J62" s="85">
        <f>0.1*0.25+2+3/4</f>
        <v>2.7749999999999999</v>
      </c>
      <c r="K62" s="85">
        <f>0.4*0.25+3</f>
        <v>3.1</v>
      </c>
      <c r="L62" s="85">
        <f>3+1/2</f>
        <v>3.5</v>
      </c>
      <c r="N62" s="85">
        <f>0.99*0.25+3+3/4</f>
        <v>3.9975000000000001</v>
      </c>
      <c r="O62" s="82" t="str">
        <f>TEXT(2+1/2,"# ?/?")</f>
        <v>2 1/2</v>
      </c>
      <c r="P62" s="75" t="s">
        <v>172</v>
      </c>
      <c r="Q62">
        <f>+C.granul.max.g6[[#This Row],[@]]+1</f>
        <v>3.5</v>
      </c>
    </row>
    <row r="63" spans="1:17" ht="14.4" x14ac:dyDescent="0.3">
      <c r="A63" s="83">
        <v>1</v>
      </c>
      <c r="B63" s="85">
        <f>0.5*0.25+1/2</f>
        <v>0.625</v>
      </c>
      <c r="C63" s="85">
        <f>0.2*0.25+3/4</f>
        <v>0.8</v>
      </c>
      <c r="D63" s="85">
        <v>1</v>
      </c>
      <c r="E63" s="85">
        <f>1+1/4</f>
        <v>1.25</v>
      </c>
      <c r="F63" s="85">
        <f>1+1/2+0.2*0.25</f>
        <v>1.55</v>
      </c>
      <c r="G63" s="85">
        <f>0.3*0.25+1+3/4</f>
        <v>1.825</v>
      </c>
      <c r="H63" s="85">
        <f>0.9*0.25+2</f>
        <v>2.2250000000000001</v>
      </c>
      <c r="I63" s="85">
        <f>0.8*0.25+2+1/2</f>
        <v>2.7</v>
      </c>
      <c r="J63" s="85">
        <f>3+0.5*0.25</f>
        <v>3.125</v>
      </c>
      <c r="K63" s="85">
        <f>3+1/2</f>
        <v>3.5</v>
      </c>
      <c r="L63" s="85">
        <f>0.99*0.25+3+3/4</f>
        <v>3.9975000000000001</v>
      </c>
    </row>
  </sheetData>
  <mergeCells count="8">
    <mergeCell ref="B50:L50"/>
    <mergeCell ref="B51:L51"/>
    <mergeCell ref="B36:K36"/>
    <mergeCell ref="B2:H2"/>
    <mergeCell ref="B1:H1"/>
    <mergeCell ref="B35:K35"/>
    <mergeCell ref="B18:I18"/>
    <mergeCell ref="B19:I19"/>
  </mergeCells>
  <phoneticPr fontId="5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0"/>
  <dimension ref="A1:AV42"/>
  <sheetViews>
    <sheetView zoomScale="90" zoomScaleNormal="90" workbookViewId="0">
      <selection activeCell="J24" sqref="J24"/>
    </sheetView>
  </sheetViews>
  <sheetFormatPr baseColWidth="10" defaultColWidth="10.90625" defaultRowHeight="13.8" x14ac:dyDescent="0.25"/>
  <cols>
    <col min="1" max="1" width="5.90625" bestFit="1" customWidth="1"/>
    <col min="2" max="2" width="6.90625" customWidth="1"/>
    <col min="3" max="3" width="7.08984375" customWidth="1"/>
    <col min="4" max="4" width="7.36328125" customWidth="1"/>
    <col min="5" max="5" width="6.90625" customWidth="1"/>
    <col min="6" max="6" width="7.36328125" customWidth="1"/>
    <col min="7" max="7" width="8.08984375" customWidth="1"/>
    <col min="8" max="9" width="9.36328125" style="101" hidden="1" customWidth="1"/>
    <col min="10" max="10" width="7.08984375" customWidth="1"/>
    <col min="11" max="11" width="8" customWidth="1"/>
    <col min="12" max="12" width="8.08984375" customWidth="1"/>
    <col min="13" max="13" width="7.08984375" customWidth="1"/>
    <col min="14" max="14" width="8" customWidth="1"/>
    <col min="15" max="15" width="7.36328125" customWidth="1"/>
    <col min="16" max="16" width="7.36328125" style="101" hidden="1" customWidth="1"/>
    <col min="17" max="21" width="6.90625" customWidth="1"/>
    <col min="22" max="24" width="7.08984375" customWidth="1"/>
    <col min="25" max="25" width="7.08984375" style="101" hidden="1" customWidth="1"/>
    <col min="26" max="26" width="6.90625" customWidth="1"/>
    <col min="27" max="27" width="6.6328125" customWidth="1"/>
    <col min="28" max="30" width="6.90625" customWidth="1"/>
    <col min="31" max="31" width="6.6328125" customWidth="1"/>
    <col min="32" max="32" width="6.6328125" style="101" hidden="1" customWidth="1"/>
    <col min="33" max="33" width="6.36328125" customWidth="1"/>
    <col min="34" max="34" width="6.08984375" customWidth="1"/>
    <col min="35" max="37" width="6.90625" customWidth="1"/>
    <col min="38" max="38" width="7.90625" customWidth="1"/>
    <col min="39" max="40" width="6.90625" customWidth="1"/>
    <col min="41" max="41" width="6.90625" style="101" hidden="1" customWidth="1"/>
    <col min="42" max="42" width="6.90625" customWidth="1"/>
    <col min="43" max="43" width="6" customWidth="1"/>
    <col min="44" max="47" width="6.90625" customWidth="1"/>
    <col min="48" max="48" width="6.90625" style="101" hidden="1" customWidth="1"/>
  </cols>
  <sheetData>
    <row r="1" spans="1:36" ht="14.4" x14ac:dyDescent="0.3">
      <c r="B1" s="297" t="s">
        <v>4</v>
      </c>
      <c r="C1" s="295"/>
      <c r="D1" s="296"/>
      <c r="E1" s="297" t="s">
        <v>5</v>
      </c>
      <c r="F1" s="295"/>
      <c r="G1" s="296"/>
      <c r="H1" s="103"/>
      <c r="I1" s="103"/>
      <c r="J1" s="297" t="s">
        <v>6</v>
      </c>
      <c r="K1" s="295"/>
      <c r="L1" s="296"/>
      <c r="M1" s="297" t="s">
        <v>11</v>
      </c>
      <c r="N1" s="295"/>
      <c r="O1" s="296"/>
      <c r="P1" s="103"/>
      <c r="Q1" s="297" t="s">
        <v>12</v>
      </c>
      <c r="R1" s="295"/>
      <c r="S1" s="296"/>
      <c r="T1" s="297" t="s">
        <v>13</v>
      </c>
      <c r="U1" s="295"/>
      <c r="V1" s="298"/>
      <c r="W1" s="295" t="s">
        <v>7</v>
      </c>
      <c r="X1" s="295"/>
      <c r="Y1" s="295"/>
      <c r="Z1" s="296"/>
      <c r="AA1" s="297" t="s">
        <v>8</v>
      </c>
      <c r="AB1" s="295"/>
      <c r="AC1" s="296"/>
      <c r="AD1" s="297" t="s">
        <v>9</v>
      </c>
      <c r="AE1" s="295"/>
      <c r="AF1" s="295"/>
      <c r="AG1" s="296"/>
      <c r="AH1" s="297" t="s">
        <v>10</v>
      </c>
      <c r="AI1" s="295"/>
      <c r="AJ1" s="296"/>
    </row>
    <row r="2" spans="1:36" ht="14.4" x14ac:dyDescent="0.3">
      <c r="A2" s="8" t="s">
        <v>14</v>
      </c>
      <c r="B2" s="2" t="s">
        <v>1</v>
      </c>
      <c r="C2" s="2" t="s">
        <v>2</v>
      </c>
      <c r="D2" s="2" t="s">
        <v>3</v>
      </c>
      <c r="E2" s="2" t="s">
        <v>15</v>
      </c>
      <c r="F2" s="2" t="s">
        <v>17</v>
      </c>
      <c r="G2" s="2" t="s">
        <v>16</v>
      </c>
      <c r="H2" s="2" t="s">
        <v>183</v>
      </c>
      <c r="I2" s="2" t="s">
        <v>190</v>
      </c>
      <c r="J2" s="2" t="s">
        <v>18</v>
      </c>
      <c r="K2" s="2" t="s">
        <v>19</v>
      </c>
      <c r="L2" s="2" t="s">
        <v>20</v>
      </c>
      <c r="M2" s="2" t="s">
        <v>21</v>
      </c>
      <c r="N2" s="2" t="s">
        <v>22</v>
      </c>
      <c r="O2" s="2" t="s">
        <v>23</v>
      </c>
      <c r="P2" s="2" t="s">
        <v>186</v>
      </c>
      <c r="Q2" s="2" t="s">
        <v>24</v>
      </c>
      <c r="R2" s="2" t="s">
        <v>25</v>
      </c>
      <c r="S2" s="2" t="s">
        <v>26</v>
      </c>
      <c r="T2" s="2" t="s">
        <v>27</v>
      </c>
      <c r="U2" s="2" t="s">
        <v>28</v>
      </c>
      <c r="V2" s="3" t="s">
        <v>29</v>
      </c>
      <c r="W2" s="4" t="s">
        <v>30</v>
      </c>
      <c r="X2" s="2" t="s">
        <v>31</v>
      </c>
      <c r="Y2" s="2" t="s">
        <v>188</v>
      </c>
      <c r="Z2" s="2" t="s">
        <v>32</v>
      </c>
      <c r="AA2" s="2" t="s">
        <v>33</v>
      </c>
      <c r="AB2" s="2" t="s">
        <v>34</v>
      </c>
      <c r="AC2" s="2" t="s">
        <v>35</v>
      </c>
      <c r="AD2" s="2" t="s">
        <v>36</v>
      </c>
      <c r="AE2" s="2" t="s">
        <v>37</v>
      </c>
      <c r="AF2" s="2" t="s">
        <v>189</v>
      </c>
      <c r="AG2" s="2" t="s">
        <v>38</v>
      </c>
      <c r="AH2" s="2" t="s">
        <v>39</v>
      </c>
      <c r="AI2" s="2" t="s">
        <v>40</v>
      </c>
      <c r="AJ2" s="9" t="s">
        <v>41</v>
      </c>
    </row>
    <row r="3" spans="1:36" ht="14.4" x14ac:dyDescent="0.3">
      <c r="A3" s="49">
        <v>0.5</v>
      </c>
      <c r="B3" s="2">
        <v>4</v>
      </c>
      <c r="C3" s="2">
        <v>5</v>
      </c>
      <c r="D3" s="2">
        <v>6</v>
      </c>
      <c r="E3" s="2">
        <v>5</v>
      </c>
      <c r="F3" s="2">
        <v>6</v>
      </c>
      <c r="G3" s="2">
        <v>7</v>
      </c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3"/>
      <c r="W3" s="5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9"/>
    </row>
    <row r="4" spans="1:36" ht="14.4" x14ac:dyDescent="0.3">
      <c r="A4" s="49">
        <v>0.75</v>
      </c>
      <c r="B4" s="2">
        <v>6</v>
      </c>
      <c r="C4" s="2">
        <v>7</v>
      </c>
      <c r="D4" s="2">
        <v>8</v>
      </c>
      <c r="E4" s="2">
        <v>7</v>
      </c>
      <c r="F4" s="2">
        <v>8.5</v>
      </c>
      <c r="G4" s="2">
        <v>10</v>
      </c>
      <c r="H4" s="2"/>
      <c r="I4" s="2"/>
      <c r="J4" s="2">
        <v>13</v>
      </c>
      <c r="K4" s="2">
        <v>16.5</v>
      </c>
      <c r="L4" s="7">
        <v>20</v>
      </c>
      <c r="M4" s="2"/>
      <c r="N4" s="2"/>
      <c r="O4" s="2"/>
      <c r="P4" s="2"/>
      <c r="Q4" s="2">
        <v>18</v>
      </c>
      <c r="R4" s="2">
        <v>22.5</v>
      </c>
      <c r="S4" s="2">
        <v>27</v>
      </c>
      <c r="T4" s="2"/>
      <c r="U4" s="2"/>
      <c r="V4" s="3"/>
      <c r="W4" s="5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9"/>
    </row>
    <row r="5" spans="1:36" ht="14.4" x14ac:dyDescent="0.3">
      <c r="A5" s="49">
        <v>1</v>
      </c>
      <c r="B5" s="2">
        <v>8</v>
      </c>
      <c r="C5" s="2">
        <v>9.5</v>
      </c>
      <c r="D5" s="2">
        <v>11</v>
      </c>
      <c r="E5" s="2">
        <v>9</v>
      </c>
      <c r="F5" s="2">
        <v>11</v>
      </c>
      <c r="G5" s="2">
        <v>13</v>
      </c>
      <c r="H5" s="2"/>
      <c r="I5" s="2"/>
      <c r="J5" s="2">
        <v>17</v>
      </c>
      <c r="K5" s="2">
        <v>21</v>
      </c>
      <c r="L5" s="2">
        <v>25</v>
      </c>
      <c r="M5" s="2">
        <v>17</v>
      </c>
      <c r="N5" s="2">
        <v>21</v>
      </c>
      <c r="O5" s="2">
        <v>25</v>
      </c>
      <c r="P5" s="2"/>
      <c r="Q5" s="2">
        <v>22</v>
      </c>
      <c r="R5" s="2">
        <v>27.5</v>
      </c>
      <c r="S5" s="2">
        <v>33</v>
      </c>
      <c r="T5" s="2"/>
      <c r="U5" s="2"/>
      <c r="V5" s="3"/>
      <c r="W5" s="5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9"/>
    </row>
    <row r="6" spans="1:36" ht="14.4" x14ac:dyDescent="0.3">
      <c r="A6" s="49">
        <v>1.5</v>
      </c>
      <c r="B6" s="2">
        <v>10</v>
      </c>
      <c r="C6" s="2">
        <v>12.5</v>
      </c>
      <c r="D6" s="2">
        <v>15</v>
      </c>
      <c r="E6" s="2">
        <v>15</v>
      </c>
      <c r="F6" s="2">
        <v>17.5</v>
      </c>
      <c r="G6" s="2">
        <v>20</v>
      </c>
      <c r="H6" s="2"/>
      <c r="I6" s="2"/>
      <c r="J6" s="2">
        <v>23</v>
      </c>
      <c r="K6" s="2">
        <v>23.5</v>
      </c>
      <c r="L6" s="2">
        <v>24</v>
      </c>
      <c r="M6" s="2">
        <v>25</v>
      </c>
      <c r="N6" s="2">
        <v>30</v>
      </c>
      <c r="O6" s="2">
        <v>35</v>
      </c>
      <c r="P6" s="2"/>
      <c r="Q6" s="2">
        <v>29</v>
      </c>
      <c r="R6" s="2">
        <v>36</v>
      </c>
      <c r="S6" s="2">
        <v>43</v>
      </c>
      <c r="T6" s="2">
        <v>38</v>
      </c>
      <c r="U6" s="2">
        <v>47.5</v>
      </c>
      <c r="V6" s="3">
        <v>57</v>
      </c>
      <c r="W6" s="5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9"/>
    </row>
    <row r="7" spans="1:36" ht="14.4" x14ac:dyDescent="0.3">
      <c r="A7" s="49">
        <v>2</v>
      </c>
      <c r="B7" s="2">
        <v>14</v>
      </c>
      <c r="C7" s="2">
        <v>17</v>
      </c>
      <c r="D7" s="2">
        <v>20</v>
      </c>
      <c r="E7" s="2">
        <v>19</v>
      </c>
      <c r="F7" s="2">
        <v>22.5</v>
      </c>
      <c r="G7" s="2">
        <v>26</v>
      </c>
      <c r="H7" s="2"/>
      <c r="I7" s="2"/>
      <c r="J7" s="2">
        <v>29</v>
      </c>
      <c r="K7" s="2">
        <v>36</v>
      </c>
      <c r="L7" s="2">
        <v>43</v>
      </c>
      <c r="M7" s="2">
        <v>30</v>
      </c>
      <c r="N7" s="2">
        <v>37.5</v>
      </c>
      <c r="O7" s="2">
        <v>45</v>
      </c>
      <c r="P7" s="2"/>
      <c r="Q7" s="2">
        <v>36</v>
      </c>
      <c r="R7" s="2">
        <v>45</v>
      </c>
      <c r="S7" s="2">
        <v>54</v>
      </c>
      <c r="T7" s="2">
        <v>48</v>
      </c>
      <c r="U7" s="2">
        <v>60</v>
      </c>
      <c r="V7" s="3">
        <v>72</v>
      </c>
      <c r="W7" s="5">
        <v>45</v>
      </c>
      <c r="X7" s="2">
        <v>65</v>
      </c>
      <c r="Y7" s="2"/>
      <c r="Z7" s="2">
        <v>85</v>
      </c>
      <c r="AA7" s="2"/>
      <c r="AB7" s="2"/>
      <c r="AC7" s="2"/>
      <c r="AD7" s="2"/>
      <c r="AE7" s="2"/>
      <c r="AF7" s="2"/>
      <c r="AG7" s="2"/>
      <c r="AH7" s="2"/>
      <c r="AI7" s="2"/>
      <c r="AJ7" s="9"/>
    </row>
    <row r="8" spans="1:36" ht="14.4" x14ac:dyDescent="0.3">
      <c r="A8" s="49">
        <v>2.5</v>
      </c>
      <c r="B8" s="2">
        <v>17</v>
      </c>
      <c r="C8" s="2">
        <v>21</v>
      </c>
      <c r="D8" s="2">
        <v>25</v>
      </c>
      <c r="E8" s="2">
        <v>22</v>
      </c>
      <c r="F8" s="2">
        <v>27.5</v>
      </c>
      <c r="G8" s="2">
        <v>33</v>
      </c>
      <c r="H8" s="2"/>
      <c r="I8" s="2"/>
      <c r="J8" s="2">
        <v>35</v>
      </c>
      <c r="K8" s="2">
        <v>43.5</v>
      </c>
      <c r="L8" s="2">
        <v>52</v>
      </c>
      <c r="M8" s="2">
        <v>37</v>
      </c>
      <c r="N8" s="2">
        <v>46</v>
      </c>
      <c r="O8" s="2">
        <v>55</v>
      </c>
      <c r="P8" s="2"/>
      <c r="Q8" s="2">
        <v>43</v>
      </c>
      <c r="R8" s="2">
        <v>54</v>
      </c>
      <c r="S8" s="2">
        <v>65</v>
      </c>
      <c r="T8" s="2">
        <v>57</v>
      </c>
      <c r="U8" s="2">
        <v>71.5</v>
      </c>
      <c r="V8" s="3">
        <v>86</v>
      </c>
      <c r="W8" s="5">
        <v>58</v>
      </c>
      <c r="X8" s="2">
        <v>81.5</v>
      </c>
      <c r="Y8" s="2"/>
      <c r="Z8" s="2">
        <v>105</v>
      </c>
      <c r="AA8" s="2"/>
      <c r="AB8" s="2"/>
      <c r="AC8" s="2"/>
      <c r="AD8" s="2"/>
      <c r="AE8" s="2"/>
      <c r="AF8" s="2"/>
      <c r="AG8" s="2"/>
      <c r="AH8" s="2"/>
      <c r="AI8" s="2"/>
      <c r="AJ8" s="9"/>
    </row>
    <row r="9" spans="1:36" ht="14.4" x14ac:dyDescent="0.3">
      <c r="A9" s="49">
        <v>3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>
        <v>43</v>
      </c>
      <c r="N9" s="2">
        <v>54</v>
      </c>
      <c r="O9" s="2">
        <v>65</v>
      </c>
      <c r="P9" s="2"/>
      <c r="Q9" s="2">
        <v>50</v>
      </c>
      <c r="R9" s="2">
        <v>62.5</v>
      </c>
      <c r="S9" s="2">
        <v>75</v>
      </c>
      <c r="T9" s="2">
        <v>67</v>
      </c>
      <c r="U9" s="2">
        <v>83.5</v>
      </c>
      <c r="V9" s="3">
        <v>100</v>
      </c>
      <c r="W9" s="5">
        <v>70</v>
      </c>
      <c r="X9" s="2">
        <v>97.5</v>
      </c>
      <c r="Y9" s="2"/>
      <c r="Z9" s="2">
        <v>125</v>
      </c>
      <c r="AA9" s="2">
        <v>110</v>
      </c>
      <c r="AB9" s="2">
        <v>145</v>
      </c>
      <c r="AC9" s="2">
        <v>180</v>
      </c>
      <c r="AD9" s="2"/>
      <c r="AE9" s="2"/>
      <c r="AF9" s="2"/>
      <c r="AG9" s="2"/>
      <c r="AH9" s="2"/>
      <c r="AI9" s="2"/>
      <c r="AJ9" s="9"/>
    </row>
    <row r="10" spans="1:36" ht="14.4" x14ac:dyDescent="0.3">
      <c r="A10" s="49">
        <v>3.5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>
        <v>76</v>
      </c>
      <c r="U10" s="2">
        <v>95</v>
      </c>
      <c r="V10" s="3">
        <v>114</v>
      </c>
      <c r="W10" s="5">
        <v>80</v>
      </c>
      <c r="X10" s="2">
        <v>113</v>
      </c>
      <c r="Y10" s="2"/>
      <c r="Z10" s="2">
        <v>145</v>
      </c>
      <c r="AA10" s="2">
        <v>125</v>
      </c>
      <c r="AB10" s="2">
        <v>168</v>
      </c>
      <c r="AC10" s="2">
        <v>210</v>
      </c>
      <c r="AD10" s="2">
        <v>140</v>
      </c>
      <c r="AE10" s="2">
        <v>180</v>
      </c>
      <c r="AF10" s="2"/>
      <c r="AG10" s="2">
        <v>220</v>
      </c>
      <c r="AH10" s="2"/>
      <c r="AI10" s="2"/>
      <c r="AJ10" s="9"/>
    </row>
    <row r="11" spans="1:36" ht="14.4" x14ac:dyDescent="0.3">
      <c r="A11" s="49">
        <v>4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3"/>
      <c r="W11" s="5">
        <v>90</v>
      </c>
      <c r="X11" s="2">
        <v>128</v>
      </c>
      <c r="Y11" s="2"/>
      <c r="Z11" s="2">
        <v>165</v>
      </c>
      <c r="AA11" s="2">
        <v>140</v>
      </c>
      <c r="AB11" s="2">
        <v>183</v>
      </c>
      <c r="AC11" s="2">
        <v>225</v>
      </c>
      <c r="AD11" s="2">
        <v>160</v>
      </c>
      <c r="AE11" s="2">
        <v>200</v>
      </c>
      <c r="AF11" s="2"/>
      <c r="AG11" s="2">
        <v>240</v>
      </c>
      <c r="AH11" s="2"/>
      <c r="AI11" s="2"/>
      <c r="AJ11" s="9"/>
    </row>
    <row r="12" spans="1:36" ht="14.4" x14ac:dyDescent="0.3">
      <c r="A12" s="49">
        <v>5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3"/>
      <c r="W12" s="5">
        <v>115</v>
      </c>
      <c r="X12" s="2">
        <v>158</v>
      </c>
      <c r="Y12" s="2"/>
      <c r="Z12" s="2">
        <v>200</v>
      </c>
      <c r="AA12" s="2">
        <v>170</v>
      </c>
      <c r="AB12" s="2">
        <v>220</v>
      </c>
      <c r="AC12" s="2">
        <v>270</v>
      </c>
      <c r="AD12" s="2">
        <v>190</v>
      </c>
      <c r="AE12" s="2">
        <v>238</v>
      </c>
      <c r="AF12" s="2"/>
      <c r="AG12" s="2">
        <v>285</v>
      </c>
      <c r="AH12" s="2">
        <v>300</v>
      </c>
      <c r="AI12" s="2">
        <v>375</v>
      </c>
      <c r="AJ12" s="9">
        <v>450</v>
      </c>
    </row>
    <row r="13" spans="1:36" ht="14.4" x14ac:dyDescent="0.3">
      <c r="A13" s="49">
        <v>6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3"/>
      <c r="W13" s="5">
        <v>140</v>
      </c>
      <c r="X13" s="2">
        <v>190</v>
      </c>
      <c r="Y13" s="2"/>
      <c r="Z13" s="2">
        <v>240</v>
      </c>
      <c r="AA13" s="2">
        <v>200</v>
      </c>
      <c r="AB13" s="2">
        <v>260</v>
      </c>
      <c r="AC13" s="2">
        <v>320</v>
      </c>
      <c r="AD13" s="2">
        <v>220</v>
      </c>
      <c r="AE13" s="2">
        <v>275</v>
      </c>
      <c r="AF13" s="2"/>
      <c r="AG13" s="2">
        <v>330</v>
      </c>
      <c r="AH13" s="2">
        <v>333</v>
      </c>
      <c r="AI13" s="2">
        <v>417</v>
      </c>
      <c r="AJ13" s="9">
        <v>500</v>
      </c>
    </row>
    <row r="14" spans="1:36" ht="14.4" x14ac:dyDescent="0.3">
      <c r="A14" s="49">
        <v>7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3"/>
      <c r="W14" s="5">
        <v>165</v>
      </c>
      <c r="X14" s="2">
        <v>223</v>
      </c>
      <c r="Y14" s="2"/>
      <c r="Z14" s="2">
        <v>280</v>
      </c>
      <c r="AA14" s="2">
        <v>225</v>
      </c>
      <c r="AB14" s="2">
        <v>300</v>
      </c>
      <c r="AC14" s="2">
        <v>375</v>
      </c>
      <c r="AD14" s="2">
        <v>260</v>
      </c>
      <c r="AE14" s="2">
        <v>320</v>
      </c>
      <c r="AF14" s="2"/>
      <c r="AG14" s="2">
        <v>380</v>
      </c>
      <c r="AH14" s="2">
        <v>366</v>
      </c>
      <c r="AI14" s="2">
        <v>458</v>
      </c>
      <c r="AJ14" s="9">
        <v>550</v>
      </c>
    </row>
    <row r="15" spans="1:36" ht="14.4" x14ac:dyDescent="0.3">
      <c r="A15" s="49">
        <v>8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3"/>
      <c r="W15" s="5"/>
      <c r="X15" s="2"/>
      <c r="Y15" s="2"/>
      <c r="Z15" s="2"/>
      <c r="AA15" s="2">
        <v>260</v>
      </c>
      <c r="AB15" s="2">
        <v>345</v>
      </c>
      <c r="AC15" s="2">
        <v>430</v>
      </c>
      <c r="AD15" s="2">
        <v>300</v>
      </c>
      <c r="AE15" s="2">
        <v>390</v>
      </c>
      <c r="AF15" s="2"/>
      <c r="AG15" s="2">
        <v>480</v>
      </c>
      <c r="AH15" s="2">
        <v>406</v>
      </c>
      <c r="AI15" s="2">
        <v>508</v>
      </c>
      <c r="AJ15" s="9">
        <v>610</v>
      </c>
    </row>
    <row r="16" spans="1:36" ht="14.4" x14ac:dyDescent="0.3">
      <c r="A16" s="49">
        <v>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3"/>
      <c r="W16" s="5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>
        <v>467</v>
      </c>
      <c r="AI16" s="2">
        <v>569</v>
      </c>
      <c r="AJ16" s="9">
        <v>670</v>
      </c>
    </row>
    <row r="17" spans="1:48" ht="14.4" x14ac:dyDescent="0.3">
      <c r="A17" s="49">
        <v>10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3"/>
      <c r="W17" s="5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>
        <v>480</v>
      </c>
      <c r="AI17" s="2">
        <v>600</v>
      </c>
      <c r="AJ17" s="9">
        <v>720</v>
      </c>
    </row>
    <row r="18" spans="1:48" ht="14.4" x14ac:dyDescent="0.3">
      <c r="A18" s="49">
        <v>11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3"/>
      <c r="W18" s="5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>
        <v>520</v>
      </c>
      <c r="AI18" s="2">
        <v>650</v>
      </c>
      <c r="AJ18" s="10">
        <v>780</v>
      </c>
    </row>
    <row r="19" spans="1:48" ht="14.4" x14ac:dyDescent="0.3">
      <c r="A19" s="49">
        <v>12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3"/>
      <c r="W19" s="5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>
        <v>560</v>
      </c>
      <c r="AI19" s="2">
        <v>700</v>
      </c>
      <c r="AJ19" s="9">
        <v>840</v>
      </c>
    </row>
    <row r="24" spans="1:48" ht="15" thickBot="1" x14ac:dyDescent="0.35">
      <c r="B24" s="299" t="s">
        <v>143</v>
      </c>
      <c r="C24" s="300"/>
      <c r="D24" s="300"/>
      <c r="E24" s="300"/>
      <c r="F24" s="300"/>
      <c r="G24" s="301"/>
      <c r="H24" s="104"/>
      <c r="I24" s="104"/>
      <c r="L24" s="299" t="s">
        <v>144</v>
      </c>
      <c r="M24" s="300"/>
      <c r="N24" s="300"/>
      <c r="O24" s="300"/>
      <c r="P24" s="104"/>
      <c r="S24" s="299" t="s">
        <v>145</v>
      </c>
      <c r="T24" s="300"/>
      <c r="U24" s="300"/>
      <c r="V24" s="300"/>
      <c r="W24" s="300"/>
      <c r="X24" s="301"/>
      <c r="Y24" s="104"/>
      <c r="AB24" s="299" t="s">
        <v>146</v>
      </c>
      <c r="AC24" s="300"/>
      <c r="AD24" s="300"/>
      <c r="AE24" s="300"/>
      <c r="AF24" s="104"/>
      <c r="AI24" s="299" t="s">
        <v>147</v>
      </c>
      <c r="AJ24" s="300"/>
      <c r="AK24" s="300"/>
      <c r="AL24" s="300"/>
      <c r="AM24" s="300"/>
      <c r="AN24" s="301"/>
      <c r="AO24" s="104"/>
      <c r="AR24" s="299" t="s">
        <v>148</v>
      </c>
      <c r="AS24" s="300"/>
      <c r="AT24" s="300"/>
      <c r="AU24" s="300"/>
      <c r="AV24" s="104"/>
    </row>
    <row r="25" spans="1:48" ht="15" thickBot="1" x14ac:dyDescent="0.35">
      <c r="A25" s="64" t="s">
        <v>14</v>
      </c>
      <c r="B25" s="62" t="s">
        <v>4</v>
      </c>
      <c r="C25" s="62" t="s">
        <v>5</v>
      </c>
      <c r="D25" s="62" t="s">
        <v>6</v>
      </c>
      <c r="E25" s="62" t="s">
        <v>11</v>
      </c>
      <c r="F25" s="62" t="s">
        <v>12</v>
      </c>
      <c r="G25" s="63" t="s">
        <v>13</v>
      </c>
      <c r="H25" s="108" t="s">
        <v>185</v>
      </c>
      <c r="I25" s="108" t="s">
        <v>191</v>
      </c>
      <c r="K25" s="66" t="s">
        <v>14</v>
      </c>
      <c r="L25" s="61" t="s">
        <v>7</v>
      </c>
      <c r="M25" s="62" t="s">
        <v>8</v>
      </c>
      <c r="N25" s="62" t="s">
        <v>9</v>
      </c>
      <c r="O25" s="63" t="s">
        <v>10</v>
      </c>
      <c r="P25" s="109" t="s">
        <v>185</v>
      </c>
      <c r="R25" s="64" t="s">
        <v>14</v>
      </c>
      <c r="S25" s="32" t="s">
        <v>4</v>
      </c>
      <c r="T25" s="32" t="s">
        <v>5</v>
      </c>
      <c r="U25" s="32" t="s">
        <v>6</v>
      </c>
      <c r="V25" s="32" t="s">
        <v>11</v>
      </c>
      <c r="W25" s="32" t="s">
        <v>12</v>
      </c>
      <c r="X25" s="51" t="s">
        <v>13</v>
      </c>
      <c r="Y25" s="108" t="s">
        <v>185</v>
      </c>
      <c r="AA25" s="58" t="s">
        <v>14</v>
      </c>
      <c r="AB25" s="61" t="s">
        <v>7</v>
      </c>
      <c r="AC25" s="62" t="s">
        <v>8</v>
      </c>
      <c r="AD25" s="62" t="s">
        <v>9</v>
      </c>
      <c r="AE25" s="63" t="s">
        <v>10</v>
      </c>
      <c r="AF25" s="109" t="s">
        <v>187</v>
      </c>
      <c r="AH25" s="55" t="s">
        <v>14</v>
      </c>
      <c r="AI25" s="32" t="s">
        <v>4</v>
      </c>
      <c r="AJ25" s="32" t="s">
        <v>5</v>
      </c>
      <c r="AK25" s="32" t="s">
        <v>6</v>
      </c>
      <c r="AL25" s="32" t="s">
        <v>11</v>
      </c>
      <c r="AM25" s="32" t="s">
        <v>12</v>
      </c>
      <c r="AN25" s="32" t="s">
        <v>13</v>
      </c>
      <c r="AO25" s="108" t="s">
        <v>184</v>
      </c>
      <c r="AQ25" s="55" t="s">
        <v>14</v>
      </c>
      <c r="AR25" s="35" t="s">
        <v>7</v>
      </c>
      <c r="AS25" s="32" t="s">
        <v>8</v>
      </c>
      <c r="AT25" s="32" t="s">
        <v>9</v>
      </c>
      <c r="AU25" s="51" t="s">
        <v>10</v>
      </c>
      <c r="AV25" s="108" t="s">
        <v>187</v>
      </c>
    </row>
    <row r="26" spans="1:48" ht="14.4" x14ac:dyDescent="0.3">
      <c r="A26" s="59">
        <v>0.5</v>
      </c>
      <c r="B26" s="41">
        <v>4</v>
      </c>
      <c r="C26" s="41">
        <v>5</v>
      </c>
      <c r="D26" s="41"/>
      <c r="E26" s="41"/>
      <c r="F26" s="41"/>
      <c r="G26" s="52"/>
      <c r="H26" s="107">
        <f>+MAX(Q_Mandibula1_Duro[[#This Row],[10x16]:[15x38]])</f>
        <v>5</v>
      </c>
      <c r="I26" s="41" t="str">
        <f>+IF(Q_Mandibula1_Duro[[#This Row],[max]]&gt;DimensionadorTrit!$C$6,MIN((Q_Mandibula1_Duro[[#This Row],[10x16]]-DimensionadorTrit!$C$6)^2),"NO")</f>
        <v>NO</v>
      </c>
      <c r="K26" s="65">
        <v>0.5</v>
      </c>
      <c r="L26" s="56"/>
      <c r="M26" s="41"/>
      <c r="N26" s="41"/>
      <c r="O26" s="52"/>
      <c r="P26" s="107">
        <f>+MAX(Q_Mandibula2_Duro[[#This Row],[20x36]:[42x48]])</f>
        <v>0</v>
      </c>
      <c r="R26" s="59">
        <v>0.5</v>
      </c>
      <c r="S26" s="41">
        <v>5</v>
      </c>
      <c r="T26" s="41">
        <v>6</v>
      </c>
      <c r="U26" s="41"/>
      <c r="V26" s="41"/>
      <c r="W26" s="41"/>
      <c r="X26" s="52"/>
      <c r="Y26" s="107">
        <f>+MAX(Q_Mandibula1_medio[[#This Row],[10x16]:[15x38]])</f>
        <v>6</v>
      </c>
      <c r="AA26" s="59">
        <v>0.5</v>
      </c>
      <c r="AB26" s="41"/>
      <c r="AC26" s="41"/>
      <c r="AD26" s="41"/>
      <c r="AE26" s="52"/>
      <c r="AF26" s="107">
        <f>+MAX(Q_Mandibula2_medio[[#This Row],[20x36]:[42x48]])</f>
        <v>0</v>
      </c>
      <c r="AH26" s="59">
        <v>0.5</v>
      </c>
      <c r="AI26" s="41">
        <v>6</v>
      </c>
      <c r="AJ26" s="41">
        <v>7</v>
      </c>
      <c r="AK26" s="41"/>
      <c r="AL26" s="41"/>
      <c r="AM26" s="41"/>
      <c r="AN26" s="67"/>
      <c r="AO26" s="112">
        <f>+MAX(Q_Mandibula1_blando[[#This Row],[10x16]:[15x38]])</f>
        <v>7</v>
      </c>
      <c r="AQ26" s="59">
        <v>0.5</v>
      </c>
      <c r="AR26" s="41"/>
      <c r="AS26" s="41"/>
      <c r="AT26" s="41"/>
      <c r="AU26" s="52"/>
      <c r="AV26" s="107">
        <f>+MAX(Q_Mandibula2_blando[[#This Row],[20x36]:[42x48]])</f>
        <v>0</v>
      </c>
    </row>
    <row r="27" spans="1:48" ht="14.4" x14ac:dyDescent="0.3">
      <c r="A27" s="59">
        <v>0.75</v>
      </c>
      <c r="B27" s="2">
        <v>6</v>
      </c>
      <c r="C27" s="2">
        <v>7</v>
      </c>
      <c r="D27" s="2">
        <v>13</v>
      </c>
      <c r="E27" s="2"/>
      <c r="F27" s="2">
        <v>18</v>
      </c>
      <c r="G27" s="9"/>
      <c r="H27" s="41">
        <f>+MAX(Q_Mandibula1_Duro[[#This Row],[10x16]:[15x38]])</f>
        <v>18</v>
      </c>
      <c r="I27" s="41" t="str">
        <f>+IF(Q_Mandibula1_Duro[[#This Row],[max]]&gt;DimensionadorTrit!$C$6,MIN((Q_Mandibula1_Duro[[#This Row],[10x16]]-DimensionadorTrit!$C$6)^2),"NO")</f>
        <v>NO</v>
      </c>
      <c r="K27" s="59">
        <v>0.75</v>
      </c>
      <c r="L27" s="5"/>
      <c r="M27" s="2"/>
      <c r="N27" s="2"/>
      <c r="O27" s="9"/>
      <c r="P27" s="106">
        <f>+MAX(Q_Mandibula2_Duro[[#This Row],[20x36]:[42x48]])</f>
        <v>0</v>
      </c>
      <c r="R27" s="59">
        <v>0.75</v>
      </c>
      <c r="S27" s="2">
        <v>7</v>
      </c>
      <c r="T27" s="2">
        <v>8.5</v>
      </c>
      <c r="U27" s="2">
        <v>16.5</v>
      </c>
      <c r="V27" s="2"/>
      <c r="W27" s="2">
        <v>22.5</v>
      </c>
      <c r="X27" s="9"/>
      <c r="Y27" s="41">
        <f>+MAX(Q_Mandibula1_medio[[#This Row],[10x16]:[15x38]])</f>
        <v>22.5</v>
      </c>
      <c r="AA27" s="59">
        <v>0.75</v>
      </c>
      <c r="AB27" s="2"/>
      <c r="AC27" s="2"/>
      <c r="AD27" s="2"/>
      <c r="AE27" s="9"/>
      <c r="AF27" s="41">
        <f>+MAX(Q_Mandibula2_medio[[#This Row],[20x36]:[42x48]])</f>
        <v>0</v>
      </c>
      <c r="AH27" s="59">
        <v>0.75</v>
      </c>
      <c r="AI27" s="2">
        <v>8</v>
      </c>
      <c r="AJ27" s="2">
        <v>10</v>
      </c>
      <c r="AK27" s="7">
        <v>20</v>
      </c>
      <c r="AL27" s="2"/>
      <c r="AM27" s="2">
        <v>27</v>
      </c>
      <c r="AN27" s="3"/>
      <c r="AO27" s="47">
        <f>+MAX(Q_Mandibula1_blando[[#This Row],[10x16]:[15x38]])</f>
        <v>27</v>
      </c>
      <c r="AQ27" s="59">
        <v>0.75</v>
      </c>
      <c r="AR27" s="2"/>
      <c r="AS27" s="2"/>
      <c r="AT27" s="2"/>
      <c r="AU27" s="9"/>
      <c r="AV27" s="41">
        <f>+MAX(Q_Mandibula2_blando[[#This Row],[20x36]:[42x48]])</f>
        <v>0</v>
      </c>
    </row>
    <row r="28" spans="1:48" ht="14.4" x14ac:dyDescent="0.3">
      <c r="A28" s="59">
        <v>1</v>
      </c>
      <c r="B28" s="41">
        <v>8</v>
      </c>
      <c r="C28" s="41">
        <v>9</v>
      </c>
      <c r="D28" s="41">
        <v>17</v>
      </c>
      <c r="E28" s="41">
        <v>17</v>
      </c>
      <c r="F28" s="41">
        <v>22</v>
      </c>
      <c r="G28" s="52"/>
      <c r="H28" s="41">
        <f>+MAX(Q_Mandibula1_Duro[[#This Row],[10x16]:[15x38]])</f>
        <v>22</v>
      </c>
      <c r="I28" s="41" t="str">
        <f>+IF(Q_Mandibula1_Duro[[#This Row],[max]]&gt;DimensionadorTrit!$C$6,MIN((Q_Mandibula1_Duro[[#This Row],[10x16]]-DimensionadorTrit!$C$6)^2),"NO")</f>
        <v>NO</v>
      </c>
      <c r="K28" s="59">
        <v>1</v>
      </c>
      <c r="L28" s="56"/>
      <c r="M28" s="41"/>
      <c r="N28" s="41"/>
      <c r="O28" s="52"/>
      <c r="P28" s="105">
        <f>+MAX(Q_Mandibula2_Duro[[#This Row],[20x36]:[42x48]])</f>
        <v>0</v>
      </c>
      <c r="R28" s="59">
        <v>1</v>
      </c>
      <c r="S28" s="41">
        <v>9.5</v>
      </c>
      <c r="T28" s="41">
        <v>11</v>
      </c>
      <c r="U28" s="41">
        <v>21</v>
      </c>
      <c r="V28" s="41">
        <v>21</v>
      </c>
      <c r="W28" s="41">
        <v>27.5</v>
      </c>
      <c r="X28" s="52"/>
      <c r="Y28" s="41">
        <f>+MAX(Q_Mandibula1_medio[[#This Row],[10x16]:[15x38]])</f>
        <v>27.5</v>
      </c>
      <c r="AA28" s="59">
        <v>1</v>
      </c>
      <c r="AB28" s="41"/>
      <c r="AC28" s="41"/>
      <c r="AD28" s="41"/>
      <c r="AE28" s="52"/>
      <c r="AF28" s="41">
        <f>+MAX(Q_Mandibula2_medio[[#This Row],[20x36]:[42x48]])</f>
        <v>0</v>
      </c>
      <c r="AH28" s="59">
        <v>1</v>
      </c>
      <c r="AI28" s="41">
        <v>11</v>
      </c>
      <c r="AJ28" s="41">
        <v>13</v>
      </c>
      <c r="AK28" s="41">
        <v>25</v>
      </c>
      <c r="AL28" s="41">
        <v>25</v>
      </c>
      <c r="AM28" s="41">
        <v>33</v>
      </c>
      <c r="AN28" s="67"/>
      <c r="AO28" s="111">
        <f>+MAX(Q_Mandibula1_blando[[#This Row],[10x16]:[15x38]])</f>
        <v>33</v>
      </c>
      <c r="AQ28" s="59">
        <v>1</v>
      </c>
      <c r="AR28" s="41"/>
      <c r="AS28" s="41"/>
      <c r="AT28" s="41"/>
      <c r="AU28" s="52"/>
      <c r="AV28" s="41">
        <f>+MAX(Q_Mandibula2_blando[[#This Row],[20x36]:[42x48]])</f>
        <v>0</v>
      </c>
    </row>
    <row r="29" spans="1:48" ht="14.4" x14ac:dyDescent="0.3">
      <c r="A29" s="59">
        <v>1.5</v>
      </c>
      <c r="B29" s="2">
        <v>10</v>
      </c>
      <c r="C29" s="2">
        <v>15</v>
      </c>
      <c r="D29" s="2">
        <v>23</v>
      </c>
      <c r="E29" s="2">
        <v>25</v>
      </c>
      <c r="F29" s="2">
        <v>29</v>
      </c>
      <c r="G29" s="9">
        <v>38</v>
      </c>
      <c r="H29" s="41">
        <f>+MAX(Q_Mandibula1_Duro[[#This Row],[10x16]:[15x38]])</f>
        <v>38</v>
      </c>
      <c r="I29" s="41" t="str">
        <f>+IF(Q_Mandibula1_Duro[[#This Row],[max]]&gt;DimensionadorTrit!$C$6,MIN((Q_Mandibula1_Duro[[#This Row],[10x16]]-DimensionadorTrit!$C$6)^2),"NO")</f>
        <v>NO</v>
      </c>
      <c r="K29" s="59">
        <v>1.5</v>
      </c>
      <c r="L29" s="5"/>
      <c r="M29" s="2"/>
      <c r="N29" s="2"/>
      <c r="O29" s="9"/>
      <c r="P29" s="106">
        <f>+MAX(Q_Mandibula2_Duro[[#This Row],[20x36]:[42x48]])</f>
        <v>0</v>
      </c>
      <c r="R29" s="59">
        <v>1.5</v>
      </c>
      <c r="S29" s="2">
        <v>12.5</v>
      </c>
      <c r="T29" s="2">
        <v>17.5</v>
      </c>
      <c r="U29" s="2">
        <v>23.5</v>
      </c>
      <c r="V29" s="2">
        <v>30</v>
      </c>
      <c r="W29" s="2">
        <v>36</v>
      </c>
      <c r="X29" s="9">
        <v>47.5</v>
      </c>
      <c r="Y29" s="41">
        <f>+MAX(Q_Mandibula1_medio[[#This Row],[10x16]:[15x38]])</f>
        <v>47.5</v>
      </c>
      <c r="AA29" s="59">
        <v>1.5</v>
      </c>
      <c r="AB29" s="2"/>
      <c r="AC29" s="2"/>
      <c r="AD29" s="2"/>
      <c r="AE29" s="9"/>
      <c r="AF29" s="41">
        <f>+MAX(Q_Mandibula2_medio[[#This Row],[20x36]:[42x48]])</f>
        <v>0</v>
      </c>
      <c r="AH29" s="59">
        <v>1.5</v>
      </c>
      <c r="AI29" s="2">
        <v>15</v>
      </c>
      <c r="AJ29" s="2">
        <v>20</v>
      </c>
      <c r="AK29" s="2">
        <v>24</v>
      </c>
      <c r="AL29" s="2">
        <v>35</v>
      </c>
      <c r="AM29" s="2">
        <v>43</v>
      </c>
      <c r="AN29" s="3">
        <v>57</v>
      </c>
      <c r="AO29" s="47">
        <f>+MAX(Q_Mandibula1_blando[[#This Row],[10x16]:[15x38]])</f>
        <v>57</v>
      </c>
      <c r="AQ29" s="59">
        <v>1.5</v>
      </c>
      <c r="AR29" s="2"/>
      <c r="AS29" s="2"/>
      <c r="AT29" s="2"/>
      <c r="AU29" s="9"/>
      <c r="AV29" s="41">
        <f>+MAX(Q_Mandibula2_blando[[#This Row],[20x36]:[42x48]])</f>
        <v>0</v>
      </c>
    </row>
    <row r="30" spans="1:48" ht="14.4" x14ac:dyDescent="0.3">
      <c r="A30" s="59">
        <v>2</v>
      </c>
      <c r="B30" s="41">
        <v>14</v>
      </c>
      <c r="C30" s="41">
        <v>19</v>
      </c>
      <c r="D30" s="41">
        <v>29</v>
      </c>
      <c r="E30" s="41">
        <v>30</v>
      </c>
      <c r="F30" s="41">
        <v>36</v>
      </c>
      <c r="G30" s="52">
        <v>48</v>
      </c>
      <c r="H30" s="41">
        <f>+MAX(Q_Mandibula1_Duro[[#This Row],[10x16]:[15x38]])</f>
        <v>48</v>
      </c>
      <c r="I30" s="41" t="str">
        <f>+IF(Q_Mandibula1_Duro[[#This Row],[max]]&gt;DimensionadorTrit!$C$6,MIN((Q_Mandibula1_Duro[[#This Row],[10x16]]-DimensionadorTrit!$C$6)^2),"NO")</f>
        <v>NO</v>
      </c>
      <c r="K30" s="59">
        <v>2</v>
      </c>
      <c r="L30" s="56">
        <v>45</v>
      </c>
      <c r="M30" s="41"/>
      <c r="N30" s="41"/>
      <c r="O30" s="52"/>
      <c r="P30" s="105">
        <f>+MAX(Q_Mandibula2_Duro[[#This Row],[20x36]:[42x48]])</f>
        <v>45</v>
      </c>
      <c r="R30" s="59">
        <v>2</v>
      </c>
      <c r="S30" s="41">
        <v>17</v>
      </c>
      <c r="T30" s="41">
        <v>22.5</v>
      </c>
      <c r="U30" s="41">
        <v>36</v>
      </c>
      <c r="V30" s="41">
        <v>37.5</v>
      </c>
      <c r="W30" s="41">
        <v>45</v>
      </c>
      <c r="X30" s="52">
        <v>60</v>
      </c>
      <c r="Y30" s="41">
        <f>+MAX(Q_Mandibula1_medio[[#This Row],[10x16]:[15x38]])</f>
        <v>60</v>
      </c>
      <c r="AA30" s="59">
        <v>2</v>
      </c>
      <c r="AB30" s="41">
        <v>65</v>
      </c>
      <c r="AC30" s="41"/>
      <c r="AD30" s="41"/>
      <c r="AE30" s="52"/>
      <c r="AF30" s="41">
        <f>+MAX(Q_Mandibula2_medio[[#This Row],[20x36]:[42x48]])</f>
        <v>65</v>
      </c>
      <c r="AH30" s="59">
        <v>2</v>
      </c>
      <c r="AI30" s="41">
        <v>20</v>
      </c>
      <c r="AJ30" s="41">
        <v>26</v>
      </c>
      <c r="AK30" s="41">
        <v>43</v>
      </c>
      <c r="AL30" s="41">
        <v>45</v>
      </c>
      <c r="AM30" s="41">
        <v>54</v>
      </c>
      <c r="AN30" s="67">
        <v>72</v>
      </c>
      <c r="AO30" s="111">
        <f>+MAX(Q_Mandibula1_blando[[#This Row],[10x16]:[15x38]])</f>
        <v>72</v>
      </c>
      <c r="AQ30" s="59">
        <v>2</v>
      </c>
      <c r="AR30" s="41">
        <v>85</v>
      </c>
      <c r="AS30" s="41"/>
      <c r="AT30" s="41"/>
      <c r="AU30" s="52"/>
      <c r="AV30" s="41">
        <f>+MAX(Q_Mandibula2_blando[[#This Row],[20x36]:[42x48]])</f>
        <v>85</v>
      </c>
    </row>
    <row r="31" spans="1:48" ht="14.4" x14ac:dyDescent="0.3">
      <c r="A31" s="59">
        <v>2.5</v>
      </c>
      <c r="B31" s="2">
        <v>17</v>
      </c>
      <c r="C31" s="2">
        <v>22</v>
      </c>
      <c r="D31" s="2">
        <v>35</v>
      </c>
      <c r="E31" s="2">
        <v>37</v>
      </c>
      <c r="F31" s="2">
        <v>43</v>
      </c>
      <c r="G31" s="9">
        <v>57</v>
      </c>
      <c r="H31" s="41">
        <f>+MAX(Q_Mandibula1_Duro[[#This Row],[10x16]:[15x38]])</f>
        <v>57</v>
      </c>
      <c r="I31" s="41" t="str">
        <f>+IF(Q_Mandibula1_Duro[[#This Row],[max]]&gt;DimensionadorTrit!$C$6,MIN((Q_Mandibula1_Duro[[#This Row],[10x16]]-DimensionadorTrit!$C$6)^2),"NO")</f>
        <v>NO</v>
      </c>
      <c r="K31" s="59">
        <v>2.5</v>
      </c>
      <c r="L31" s="5">
        <v>58</v>
      </c>
      <c r="M31" s="2"/>
      <c r="N31" s="2"/>
      <c r="O31" s="9"/>
      <c r="P31" s="106">
        <f>+MAX(Q_Mandibula2_Duro[[#This Row],[20x36]:[42x48]])</f>
        <v>58</v>
      </c>
      <c r="R31" s="59">
        <v>2.5</v>
      </c>
      <c r="S31" s="2">
        <v>21</v>
      </c>
      <c r="T31" s="2">
        <v>27.5</v>
      </c>
      <c r="U31" s="2">
        <v>43.5</v>
      </c>
      <c r="V31" s="2">
        <v>46</v>
      </c>
      <c r="W31" s="2">
        <v>54</v>
      </c>
      <c r="X31" s="9">
        <v>71.5</v>
      </c>
      <c r="Y31" s="41">
        <f>+MAX(Q_Mandibula1_medio[[#This Row],[10x16]:[15x38]])</f>
        <v>71.5</v>
      </c>
      <c r="AA31" s="59">
        <v>2.5</v>
      </c>
      <c r="AB31" s="2">
        <v>81.5</v>
      </c>
      <c r="AC31" s="2"/>
      <c r="AD31" s="2"/>
      <c r="AE31" s="9"/>
      <c r="AF31" s="41">
        <f>+MAX(Q_Mandibula2_medio[[#This Row],[20x36]:[42x48]])</f>
        <v>81.5</v>
      </c>
      <c r="AH31" s="59">
        <v>2.5</v>
      </c>
      <c r="AI31" s="2">
        <v>25</v>
      </c>
      <c r="AJ31" s="2">
        <v>33</v>
      </c>
      <c r="AK31" s="2">
        <v>52</v>
      </c>
      <c r="AL31" s="2">
        <v>55</v>
      </c>
      <c r="AM31" s="2">
        <v>65</v>
      </c>
      <c r="AN31" s="3">
        <v>86</v>
      </c>
      <c r="AO31" s="47">
        <f>+MAX(Q_Mandibula1_blando[[#This Row],[10x16]:[15x38]])</f>
        <v>86</v>
      </c>
      <c r="AQ31" s="59">
        <v>2.5</v>
      </c>
      <c r="AR31" s="2">
        <v>105</v>
      </c>
      <c r="AS31" s="2"/>
      <c r="AT31" s="2"/>
      <c r="AU31" s="9"/>
      <c r="AV31" s="41">
        <f>+MAX(Q_Mandibula2_blando[[#This Row],[20x36]:[42x48]])</f>
        <v>105</v>
      </c>
    </row>
    <row r="32" spans="1:48" ht="14.4" x14ac:dyDescent="0.3">
      <c r="A32" s="59">
        <v>3</v>
      </c>
      <c r="B32" s="41"/>
      <c r="C32" s="41"/>
      <c r="D32" s="41"/>
      <c r="E32" s="41">
        <v>43</v>
      </c>
      <c r="F32" s="41">
        <v>50</v>
      </c>
      <c r="G32" s="52">
        <v>67</v>
      </c>
      <c r="H32" s="41">
        <f>+MAX(Q_Mandibula1_Duro[[#This Row],[10x16]:[15x38]])</f>
        <v>67</v>
      </c>
      <c r="I32" s="41" t="str">
        <f>+IF(Q_Mandibula1_Duro[[#This Row],[max]]&gt;DimensionadorTrit!$C$6,MIN((Q_Mandibula1_Duro[[#This Row],[10x16]]-DimensionadorTrit!$C$6)^2),"NO")</f>
        <v>NO</v>
      </c>
      <c r="K32" s="59">
        <v>3</v>
      </c>
      <c r="L32" s="56">
        <v>70</v>
      </c>
      <c r="M32" s="41">
        <v>110</v>
      </c>
      <c r="N32" s="41"/>
      <c r="O32" s="52"/>
      <c r="P32" s="105">
        <f>+MAX(Q_Mandibula2_Duro[[#This Row],[20x36]:[42x48]])</f>
        <v>110</v>
      </c>
      <c r="R32" s="59">
        <v>3</v>
      </c>
      <c r="S32" s="41"/>
      <c r="T32" s="41"/>
      <c r="U32" s="41"/>
      <c r="V32" s="41">
        <v>54</v>
      </c>
      <c r="W32" s="41">
        <v>62.5</v>
      </c>
      <c r="X32" s="52">
        <v>83.5</v>
      </c>
      <c r="Y32" s="41">
        <f>+MAX(Q_Mandibula1_medio[[#This Row],[10x16]:[15x38]])</f>
        <v>83.5</v>
      </c>
      <c r="AA32" s="59">
        <v>3</v>
      </c>
      <c r="AB32" s="41">
        <v>97.5</v>
      </c>
      <c r="AC32" s="41">
        <v>145</v>
      </c>
      <c r="AD32" s="41"/>
      <c r="AE32" s="52"/>
      <c r="AF32" s="41">
        <f>+MAX(Q_Mandibula2_medio[[#This Row],[20x36]:[42x48]])</f>
        <v>145</v>
      </c>
      <c r="AH32" s="59">
        <v>3</v>
      </c>
      <c r="AI32" s="41"/>
      <c r="AJ32" s="41"/>
      <c r="AK32" s="41"/>
      <c r="AL32" s="41">
        <v>65</v>
      </c>
      <c r="AM32" s="41">
        <v>75</v>
      </c>
      <c r="AN32" s="67">
        <v>100</v>
      </c>
      <c r="AO32" s="111">
        <f>+MAX(Q_Mandibula1_blando[[#This Row],[10x16]:[15x38]])</f>
        <v>100</v>
      </c>
      <c r="AQ32" s="59">
        <v>3</v>
      </c>
      <c r="AR32" s="41">
        <v>125</v>
      </c>
      <c r="AS32" s="41">
        <v>180</v>
      </c>
      <c r="AT32" s="41"/>
      <c r="AU32" s="52"/>
      <c r="AV32" s="41">
        <f>+MAX(Q_Mandibula2_blando[[#This Row],[20x36]:[42x48]])</f>
        <v>180</v>
      </c>
    </row>
    <row r="33" spans="1:48" ht="14.4" x14ac:dyDescent="0.3">
      <c r="A33" s="59">
        <v>3.5</v>
      </c>
      <c r="B33" s="2"/>
      <c r="C33" s="2"/>
      <c r="D33" s="2"/>
      <c r="E33" s="2"/>
      <c r="F33" s="2"/>
      <c r="G33" s="9">
        <v>76</v>
      </c>
      <c r="H33" s="41">
        <f>+MAX(Q_Mandibula1_Duro[[#This Row],[10x16]:[15x38]])</f>
        <v>76</v>
      </c>
      <c r="I33" s="41" t="str">
        <f>+IF(Q_Mandibula1_Duro[[#This Row],[max]]&gt;DimensionadorTrit!$C$6,MIN((Q_Mandibula1_Duro[[#This Row],[10x16]]-DimensionadorTrit!$C$6)^2),"NO")</f>
        <v>NO</v>
      </c>
      <c r="K33" s="59">
        <v>3.5</v>
      </c>
      <c r="L33" s="5">
        <v>80</v>
      </c>
      <c r="M33" s="2">
        <v>125</v>
      </c>
      <c r="N33" s="2">
        <v>140</v>
      </c>
      <c r="O33" s="9"/>
      <c r="P33" s="106">
        <f>+MAX(Q_Mandibula2_Duro[[#This Row],[20x36]:[42x48]])</f>
        <v>140</v>
      </c>
      <c r="R33" s="59">
        <v>3.5</v>
      </c>
      <c r="S33" s="2"/>
      <c r="T33" s="2"/>
      <c r="U33" s="2"/>
      <c r="V33" s="2"/>
      <c r="W33" s="2"/>
      <c r="X33" s="9">
        <v>95</v>
      </c>
      <c r="Y33" s="41">
        <f>+MAX(Q_Mandibula1_medio[[#This Row],[10x16]:[15x38]])</f>
        <v>95</v>
      </c>
      <c r="AA33" s="59">
        <v>3.5</v>
      </c>
      <c r="AB33" s="2">
        <v>113</v>
      </c>
      <c r="AC33" s="2">
        <v>168</v>
      </c>
      <c r="AD33" s="2">
        <v>180</v>
      </c>
      <c r="AE33" s="9"/>
      <c r="AF33" s="41">
        <f>+MAX(Q_Mandibula2_medio[[#This Row],[20x36]:[42x48]])</f>
        <v>180</v>
      </c>
      <c r="AH33" s="59">
        <v>3.5</v>
      </c>
      <c r="AI33" s="2"/>
      <c r="AJ33" s="2"/>
      <c r="AK33" s="2"/>
      <c r="AL33" s="2"/>
      <c r="AM33" s="2"/>
      <c r="AN33" s="3">
        <v>114</v>
      </c>
      <c r="AO33" s="47">
        <f>+MAX(Q_Mandibula1_blando[[#This Row],[10x16]:[15x38]])</f>
        <v>114</v>
      </c>
      <c r="AQ33" s="59">
        <v>3.5</v>
      </c>
      <c r="AR33" s="2">
        <v>145</v>
      </c>
      <c r="AS33" s="2">
        <v>210</v>
      </c>
      <c r="AT33" s="2">
        <v>220</v>
      </c>
      <c r="AU33" s="9"/>
      <c r="AV33" s="41">
        <f>+MAX(Q_Mandibula2_blando[[#This Row],[20x36]:[42x48]])</f>
        <v>220</v>
      </c>
    </row>
    <row r="34" spans="1:48" ht="14.4" x14ac:dyDescent="0.3">
      <c r="A34" s="59">
        <v>4</v>
      </c>
      <c r="B34" s="41"/>
      <c r="C34" s="41"/>
      <c r="D34" s="41"/>
      <c r="E34" s="41"/>
      <c r="F34" s="41"/>
      <c r="G34" s="52"/>
      <c r="H34" s="41">
        <f>+MAX(Q_Mandibula1_Duro[[#This Row],[10x16]:[15x38]])</f>
        <v>0</v>
      </c>
      <c r="I34" s="41" t="str">
        <f>+IF(Q_Mandibula1_Duro[[#This Row],[max]]&gt;DimensionadorTrit!$C$6,MIN((Q_Mandibula1_Duro[[#This Row],[10x16]]-DimensionadorTrit!$C$6)^2),"NO")</f>
        <v>NO</v>
      </c>
      <c r="K34" s="59">
        <v>4</v>
      </c>
      <c r="L34" s="56">
        <v>90</v>
      </c>
      <c r="M34" s="41">
        <v>140</v>
      </c>
      <c r="N34" s="41">
        <v>160</v>
      </c>
      <c r="O34" s="52"/>
      <c r="P34" s="105">
        <f>+MAX(Q_Mandibula2_Duro[[#This Row],[20x36]:[42x48]])</f>
        <v>160</v>
      </c>
      <c r="R34" s="59">
        <v>4</v>
      </c>
      <c r="S34" s="41"/>
      <c r="T34" s="41"/>
      <c r="U34" s="41"/>
      <c r="V34" s="41"/>
      <c r="W34" s="41"/>
      <c r="X34" s="52"/>
      <c r="Y34" s="41">
        <f>+MAX(Q_Mandibula1_medio[[#This Row],[10x16]:[15x38]])</f>
        <v>0</v>
      </c>
      <c r="AA34" s="59">
        <v>4</v>
      </c>
      <c r="AB34" s="41">
        <v>128</v>
      </c>
      <c r="AC34" s="41">
        <v>183</v>
      </c>
      <c r="AD34" s="41">
        <v>200</v>
      </c>
      <c r="AE34" s="52"/>
      <c r="AF34" s="41">
        <f>+MAX(Q_Mandibula2_medio[[#This Row],[20x36]:[42x48]])</f>
        <v>200</v>
      </c>
      <c r="AH34" s="59">
        <v>4</v>
      </c>
      <c r="AI34" s="41"/>
      <c r="AJ34" s="41"/>
      <c r="AK34" s="41"/>
      <c r="AL34" s="41"/>
      <c r="AM34" s="41"/>
      <c r="AN34" s="67"/>
      <c r="AO34" s="111">
        <f>+MAX(Q_Mandibula1_blando[[#This Row],[10x16]:[15x38]])</f>
        <v>0</v>
      </c>
      <c r="AQ34" s="59">
        <v>4</v>
      </c>
      <c r="AR34" s="41">
        <v>165</v>
      </c>
      <c r="AS34" s="41">
        <v>225</v>
      </c>
      <c r="AT34" s="41">
        <v>240</v>
      </c>
      <c r="AU34" s="52"/>
      <c r="AV34" s="41">
        <f>+MAX(Q_Mandibula2_blando[[#This Row],[20x36]:[42x48]])</f>
        <v>240</v>
      </c>
    </row>
    <row r="35" spans="1:48" ht="14.4" x14ac:dyDescent="0.3">
      <c r="A35" s="59">
        <v>5</v>
      </c>
      <c r="B35" s="2"/>
      <c r="C35" s="2"/>
      <c r="D35" s="2"/>
      <c r="E35" s="2"/>
      <c r="F35" s="2"/>
      <c r="G35" s="9"/>
      <c r="H35" s="41">
        <f>+MAX(Q_Mandibula1_Duro[[#This Row],[10x16]:[15x38]])</f>
        <v>0</v>
      </c>
      <c r="I35" s="41" t="str">
        <f>+IF(Q_Mandibula1_Duro[[#This Row],[max]]&gt;DimensionadorTrit!$C$6,MIN((Q_Mandibula1_Duro[[#This Row],[10x16]]-DimensionadorTrit!$C$6)^2),"NO")</f>
        <v>NO</v>
      </c>
      <c r="K35" s="59">
        <v>5</v>
      </c>
      <c r="L35" s="5">
        <v>115</v>
      </c>
      <c r="M35" s="2">
        <v>170</v>
      </c>
      <c r="N35" s="2">
        <v>190</v>
      </c>
      <c r="O35" s="9">
        <v>300</v>
      </c>
      <c r="P35" s="106">
        <f>+MAX(Q_Mandibula2_Duro[[#This Row],[20x36]:[42x48]])</f>
        <v>300</v>
      </c>
      <c r="R35" s="59">
        <v>5</v>
      </c>
      <c r="S35" s="2"/>
      <c r="T35" s="2"/>
      <c r="U35" s="2"/>
      <c r="V35" s="2"/>
      <c r="W35" s="2"/>
      <c r="X35" s="9"/>
      <c r="Y35" s="41">
        <f>+MAX(Q_Mandibula1_medio[[#This Row],[10x16]:[15x38]])</f>
        <v>0</v>
      </c>
      <c r="AA35" s="59">
        <v>5</v>
      </c>
      <c r="AB35" s="2">
        <v>158</v>
      </c>
      <c r="AC35" s="2">
        <v>220</v>
      </c>
      <c r="AD35" s="2">
        <v>238</v>
      </c>
      <c r="AE35" s="9">
        <v>375</v>
      </c>
      <c r="AF35" s="41">
        <f>+MAX(Q_Mandibula2_medio[[#This Row],[20x36]:[42x48]])</f>
        <v>375</v>
      </c>
      <c r="AH35" s="59">
        <v>5</v>
      </c>
      <c r="AI35" s="2"/>
      <c r="AJ35" s="2"/>
      <c r="AK35" s="2"/>
      <c r="AL35" s="2"/>
      <c r="AM35" s="2"/>
      <c r="AN35" s="3"/>
      <c r="AO35" s="47">
        <f>+MAX(Q_Mandibula1_blando[[#This Row],[10x16]:[15x38]])</f>
        <v>0</v>
      </c>
      <c r="AQ35" s="59">
        <v>5</v>
      </c>
      <c r="AR35" s="2">
        <v>200</v>
      </c>
      <c r="AS35" s="2">
        <v>270</v>
      </c>
      <c r="AT35" s="2">
        <v>285</v>
      </c>
      <c r="AU35" s="9">
        <v>450</v>
      </c>
      <c r="AV35" s="41">
        <f>+MAX(Q_Mandibula2_blando[[#This Row],[20x36]:[42x48]])</f>
        <v>450</v>
      </c>
    </row>
    <row r="36" spans="1:48" ht="14.4" x14ac:dyDescent="0.3">
      <c r="A36" s="59">
        <v>6</v>
      </c>
      <c r="B36" s="41"/>
      <c r="C36" s="41"/>
      <c r="D36" s="41"/>
      <c r="E36" s="41"/>
      <c r="F36" s="41"/>
      <c r="G36" s="52"/>
      <c r="H36" s="41">
        <f>+MAX(Q_Mandibula1_Duro[[#This Row],[10x16]:[15x38]])</f>
        <v>0</v>
      </c>
      <c r="I36" s="41" t="str">
        <f>+IF(Q_Mandibula1_Duro[[#This Row],[max]]&gt;DimensionadorTrit!$C$6,MIN((Q_Mandibula1_Duro[[#This Row],[10x16]]-DimensionadorTrit!$C$6)^2),"NO")</f>
        <v>NO</v>
      </c>
      <c r="K36" s="59">
        <v>6</v>
      </c>
      <c r="L36" s="56">
        <v>140</v>
      </c>
      <c r="M36" s="41">
        <v>200</v>
      </c>
      <c r="N36" s="41">
        <v>220</v>
      </c>
      <c r="O36" s="52">
        <v>333</v>
      </c>
      <c r="P36" s="105">
        <f>+MAX(Q_Mandibula2_Duro[[#This Row],[20x36]:[42x48]])</f>
        <v>333</v>
      </c>
      <c r="R36" s="59">
        <v>6</v>
      </c>
      <c r="S36" s="41"/>
      <c r="T36" s="41"/>
      <c r="U36" s="41"/>
      <c r="V36" s="41"/>
      <c r="W36" s="41"/>
      <c r="X36" s="52"/>
      <c r="Y36" s="41">
        <f>+MAX(Q_Mandibula1_medio[[#This Row],[10x16]:[15x38]])</f>
        <v>0</v>
      </c>
      <c r="AA36" s="59">
        <v>6</v>
      </c>
      <c r="AB36" s="41">
        <v>190</v>
      </c>
      <c r="AC36" s="41">
        <v>260</v>
      </c>
      <c r="AD36" s="41">
        <v>275</v>
      </c>
      <c r="AE36" s="52">
        <v>417</v>
      </c>
      <c r="AF36" s="41">
        <f>+MAX(Q_Mandibula2_medio[[#This Row],[20x36]:[42x48]])</f>
        <v>417</v>
      </c>
      <c r="AH36" s="59">
        <v>6</v>
      </c>
      <c r="AI36" s="41"/>
      <c r="AJ36" s="41"/>
      <c r="AK36" s="41"/>
      <c r="AL36" s="41"/>
      <c r="AM36" s="41"/>
      <c r="AN36" s="67"/>
      <c r="AO36" s="111">
        <f>+MAX(Q_Mandibula1_blando[[#This Row],[10x16]:[15x38]])</f>
        <v>0</v>
      </c>
      <c r="AQ36" s="59">
        <v>6</v>
      </c>
      <c r="AR36" s="41">
        <v>240</v>
      </c>
      <c r="AS36" s="41">
        <v>320</v>
      </c>
      <c r="AT36" s="41">
        <v>330</v>
      </c>
      <c r="AU36" s="52">
        <v>500</v>
      </c>
      <c r="AV36" s="41">
        <f>+MAX(Q_Mandibula2_blando[[#This Row],[20x36]:[42x48]])</f>
        <v>500</v>
      </c>
    </row>
    <row r="37" spans="1:48" ht="14.4" x14ac:dyDescent="0.3">
      <c r="A37" s="59">
        <v>7</v>
      </c>
      <c r="B37" s="2"/>
      <c r="C37" s="2"/>
      <c r="D37" s="2"/>
      <c r="E37" s="2"/>
      <c r="F37" s="2"/>
      <c r="G37" s="9"/>
      <c r="H37" s="41">
        <f>+MAX(Q_Mandibula1_Duro[[#This Row],[10x16]:[15x38]])</f>
        <v>0</v>
      </c>
      <c r="I37" s="41" t="str">
        <f>+IF(Q_Mandibula1_Duro[[#This Row],[max]]&gt;DimensionadorTrit!$C$6,MIN((Q_Mandibula1_Duro[[#This Row],[10x16]]-DimensionadorTrit!$C$6)^2),"NO")</f>
        <v>NO</v>
      </c>
      <c r="K37" s="59">
        <v>7</v>
      </c>
      <c r="L37" s="5">
        <v>165</v>
      </c>
      <c r="M37" s="2">
        <v>225</v>
      </c>
      <c r="N37" s="2">
        <v>260</v>
      </c>
      <c r="O37" s="9">
        <v>366</v>
      </c>
      <c r="P37" s="106">
        <f>+MAX(Q_Mandibula2_Duro[[#This Row],[20x36]:[42x48]])</f>
        <v>366</v>
      </c>
      <c r="R37" s="59">
        <v>7</v>
      </c>
      <c r="S37" s="2"/>
      <c r="T37" s="2"/>
      <c r="U37" s="2"/>
      <c r="V37" s="2"/>
      <c r="W37" s="2"/>
      <c r="X37" s="9"/>
      <c r="Y37" s="41">
        <f>+MAX(Q_Mandibula1_medio[[#This Row],[10x16]:[15x38]])</f>
        <v>0</v>
      </c>
      <c r="AA37" s="59">
        <v>7</v>
      </c>
      <c r="AB37" s="2">
        <v>223</v>
      </c>
      <c r="AC37" s="2">
        <v>300</v>
      </c>
      <c r="AD37" s="2">
        <v>320</v>
      </c>
      <c r="AE37" s="9">
        <v>458</v>
      </c>
      <c r="AF37" s="41">
        <f>+MAX(Q_Mandibula2_medio[[#This Row],[20x36]:[42x48]])</f>
        <v>458</v>
      </c>
      <c r="AH37" s="59">
        <v>7</v>
      </c>
      <c r="AI37" s="2"/>
      <c r="AJ37" s="2"/>
      <c r="AK37" s="2"/>
      <c r="AL37" s="2"/>
      <c r="AM37" s="2"/>
      <c r="AN37" s="3"/>
      <c r="AO37" s="47">
        <f>+MAX(Q_Mandibula1_blando[[#This Row],[10x16]:[15x38]])</f>
        <v>0</v>
      </c>
      <c r="AQ37" s="59">
        <v>7</v>
      </c>
      <c r="AR37" s="2">
        <v>280</v>
      </c>
      <c r="AS37" s="2">
        <v>375</v>
      </c>
      <c r="AT37" s="2">
        <v>380</v>
      </c>
      <c r="AU37" s="9">
        <v>550</v>
      </c>
      <c r="AV37" s="41">
        <f>+MAX(Q_Mandibula2_blando[[#This Row],[20x36]:[42x48]])</f>
        <v>550</v>
      </c>
    </row>
    <row r="38" spans="1:48" ht="14.4" x14ac:dyDescent="0.3">
      <c r="A38" s="59">
        <v>8</v>
      </c>
      <c r="B38" s="41"/>
      <c r="C38" s="41"/>
      <c r="D38" s="41"/>
      <c r="E38" s="41"/>
      <c r="F38" s="41"/>
      <c r="G38" s="52"/>
      <c r="H38" s="41">
        <f>+MAX(Q_Mandibula1_Duro[[#This Row],[10x16]:[15x38]])</f>
        <v>0</v>
      </c>
      <c r="I38" s="41" t="str">
        <f>+IF(Q_Mandibula1_Duro[[#This Row],[max]]&gt;DimensionadorTrit!$C$6,MIN((Q_Mandibula1_Duro[[#This Row],[10x16]]-DimensionadorTrit!$C$6)^2),"NO")</f>
        <v>NO</v>
      </c>
      <c r="K38" s="59">
        <v>8</v>
      </c>
      <c r="L38" s="56"/>
      <c r="M38" s="41">
        <v>260</v>
      </c>
      <c r="N38" s="41">
        <v>300</v>
      </c>
      <c r="O38" s="52">
        <v>406</v>
      </c>
      <c r="P38" s="105">
        <f>+MAX(Q_Mandibula2_Duro[[#This Row],[20x36]:[42x48]])</f>
        <v>406</v>
      </c>
      <c r="R38" s="59">
        <v>8</v>
      </c>
      <c r="S38" s="41"/>
      <c r="T38" s="41"/>
      <c r="U38" s="41"/>
      <c r="V38" s="41"/>
      <c r="W38" s="41"/>
      <c r="X38" s="52"/>
      <c r="Y38" s="41">
        <f>+MAX(Q_Mandibula1_medio[[#This Row],[10x16]:[15x38]])</f>
        <v>0</v>
      </c>
      <c r="AA38" s="59">
        <v>8</v>
      </c>
      <c r="AB38" s="41"/>
      <c r="AC38" s="41">
        <v>345</v>
      </c>
      <c r="AD38" s="41">
        <v>390</v>
      </c>
      <c r="AE38" s="52">
        <v>508</v>
      </c>
      <c r="AF38" s="41">
        <f>+MAX(Q_Mandibula2_medio[[#This Row],[20x36]:[42x48]])</f>
        <v>508</v>
      </c>
      <c r="AH38" s="59">
        <v>8</v>
      </c>
      <c r="AI38" s="41"/>
      <c r="AJ38" s="41"/>
      <c r="AK38" s="41"/>
      <c r="AL38" s="41"/>
      <c r="AM38" s="41"/>
      <c r="AN38" s="67"/>
      <c r="AO38" s="111">
        <f>+MAX(Q_Mandibula1_blando[[#This Row],[10x16]:[15x38]])</f>
        <v>0</v>
      </c>
      <c r="AQ38" s="59">
        <v>8</v>
      </c>
      <c r="AR38" s="41"/>
      <c r="AS38" s="41">
        <v>430</v>
      </c>
      <c r="AT38" s="41">
        <v>480</v>
      </c>
      <c r="AU38" s="52">
        <v>610</v>
      </c>
      <c r="AV38" s="41">
        <f>+MAX(Q_Mandibula2_blando[[#This Row],[20x36]:[42x48]])</f>
        <v>610</v>
      </c>
    </row>
    <row r="39" spans="1:48" ht="14.4" x14ac:dyDescent="0.3">
      <c r="A39" s="59">
        <v>9</v>
      </c>
      <c r="B39" s="2"/>
      <c r="C39" s="2"/>
      <c r="D39" s="2"/>
      <c r="E39" s="2"/>
      <c r="F39" s="2"/>
      <c r="G39" s="9"/>
      <c r="H39" s="41">
        <f>+MAX(Q_Mandibula1_Duro[[#This Row],[10x16]:[15x38]])</f>
        <v>0</v>
      </c>
      <c r="I39" s="41" t="str">
        <f>+IF(Q_Mandibula1_Duro[[#This Row],[max]]&gt;DimensionadorTrit!$C$6,MIN((Q_Mandibula1_Duro[[#This Row],[10x16]]-DimensionadorTrit!$C$6)^2),"NO")</f>
        <v>NO</v>
      </c>
      <c r="K39" s="59">
        <v>9</v>
      </c>
      <c r="L39" s="5"/>
      <c r="M39" s="2"/>
      <c r="N39" s="2"/>
      <c r="O39" s="9">
        <v>467</v>
      </c>
      <c r="P39" s="106">
        <f>+MAX(Q_Mandibula2_Duro[[#This Row],[20x36]:[42x48]])</f>
        <v>467</v>
      </c>
      <c r="R39" s="59">
        <v>9</v>
      </c>
      <c r="S39" s="2"/>
      <c r="T39" s="2"/>
      <c r="U39" s="2"/>
      <c r="V39" s="2"/>
      <c r="W39" s="2"/>
      <c r="X39" s="9"/>
      <c r="Y39" s="41">
        <f>+MAX(Q_Mandibula1_medio[[#This Row],[10x16]:[15x38]])</f>
        <v>0</v>
      </c>
      <c r="AA39" s="59">
        <v>9</v>
      </c>
      <c r="AB39" s="2"/>
      <c r="AC39" s="2"/>
      <c r="AD39" s="2"/>
      <c r="AE39" s="9">
        <v>569</v>
      </c>
      <c r="AF39" s="41">
        <f>+MAX(Q_Mandibula2_medio[[#This Row],[20x36]:[42x48]])</f>
        <v>569</v>
      </c>
      <c r="AH39" s="59">
        <v>9</v>
      </c>
      <c r="AI39" s="2"/>
      <c r="AJ39" s="2"/>
      <c r="AK39" s="2"/>
      <c r="AL39" s="2"/>
      <c r="AM39" s="2"/>
      <c r="AN39" s="3"/>
      <c r="AO39" s="47">
        <f>+MAX(Q_Mandibula1_blando[[#This Row],[10x16]:[15x38]])</f>
        <v>0</v>
      </c>
      <c r="AQ39" s="59">
        <v>9</v>
      </c>
      <c r="AR39" s="2"/>
      <c r="AS39" s="2"/>
      <c r="AT39" s="2"/>
      <c r="AU39" s="9">
        <v>670</v>
      </c>
      <c r="AV39" s="41">
        <f>+MAX(Q_Mandibula2_blando[[#This Row],[20x36]:[42x48]])</f>
        <v>670</v>
      </c>
    </row>
    <row r="40" spans="1:48" ht="14.4" x14ac:dyDescent="0.3">
      <c r="A40" s="59">
        <v>10</v>
      </c>
      <c r="B40" s="41"/>
      <c r="C40" s="41"/>
      <c r="D40" s="41"/>
      <c r="E40" s="41"/>
      <c r="F40" s="41"/>
      <c r="G40" s="52"/>
      <c r="H40" s="41">
        <f>+MAX(Q_Mandibula1_Duro[[#This Row],[10x16]:[15x38]])</f>
        <v>0</v>
      </c>
      <c r="I40" s="41" t="str">
        <f>+IF(Q_Mandibula1_Duro[[#This Row],[max]]&gt;DimensionadorTrit!$C$6,MIN((Q_Mandibula1_Duro[[#This Row],[10x16]]-DimensionadorTrit!$C$6)^2),"NO")</f>
        <v>NO</v>
      </c>
      <c r="K40" s="59">
        <v>10</v>
      </c>
      <c r="L40" s="56"/>
      <c r="M40" s="41"/>
      <c r="N40" s="41"/>
      <c r="O40" s="52">
        <v>480</v>
      </c>
      <c r="P40" s="105">
        <f>+MAX(Q_Mandibula2_Duro[[#This Row],[20x36]:[42x48]])</f>
        <v>480</v>
      </c>
      <c r="R40" s="59">
        <v>10</v>
      </c>
      <c r="S40" s="41"/>
      <c r="T40" s="41"/>
      <c r="U40" s="41"/>
      <c r="V40" s="41"/>
      <c r="W40" s="41"/>
      <c r="X40" s="52"/>
      <c r="Y40" s="41">
        <f>+MAX(Q_Mandibula1_medio[[#This Row],[10x16]:[15x38]])</f>
        <v>0</v>
      </c>
      <c r="AA40" s="59">
        <v>10</v>
      </c>
      <c r="AB40" s="41"/>
      <c r="AC40" s="41"/>
      <c r="AD40" s="41"/>
      <c r="AE40" s="52">
        <v>600</v>
      </c>
      <c r="AF40" s="41">
        <f>+MAX(Q_Mandibula2_medio[[#This Row],[20x36]:[42x48]])</f>
        <v>600</v>
      </c>
      <c r="AH40" s="59">
        <v>10</v>
      </c>
      <c r="AI40" s="41"/>
      <c r="AJ40" s="41"/>
      <c r="AK40" s="41"/>
      <c r="AL40" s="41"/>
      <c r="AM40" s="41"/>
      <c r="AN40" s="67"/>
      <c r="AO40" s="111">
        <f>+MAX(Q_Mandibula1_blando[[#This Row],[10x16]:[15x38]])</f>
        <v>0</v>
      </c>
      <c r="AQ40" s="59">
        <v>10</v>
      </c>
      <c r="AR40" s="41"/>
      <c r="AS40" s="41"/>
      <c r="AT40" s="41"/>
      <c r="AU40" s="52">
        <v>720</v>
      </c>
      <c r="AV40" s="41">
        <f>+MAX(Q_Mandibula2_blando[[#This Row],[20x36]:[42x48]])</f>
        <v>720</v>
      </c>
    </row>
    <row r="41" spans="1:48" ht="14.4" x14ac:dyDescent="0.3">
      <c r="A41" s="59">
        <v>11</v>
      </c>
      <c r="B41" s="2"/>
      <c r="C41" s="2"/>
      <c r="D41" s="2"/>
      <c r="E41" s="2"/>
      <c r="F41" s="2"/>
      <c r="G41" s="9"/>
      <c r="H41" s="41">
        <f>+MAX(Q_Mandibula1_Duro[[#This Row],[10x16]:[15x38]])</f>
        <v>0</v>
      </c>
      <c r="I41" s="41" t="str">
        <f>+IF(Q_Mandibula1_Duro[[#This Row],[max]]&gt;DimensionadorTrit!$C$6,MIN((Q_Mandibula1_Duro[[#This Row],[10x16]]-DimensionadorTrit!$C$6)^2),"NO")</f>
        <v>NO</v>
      </c>
      <c r="K41" s="59">
        <v>11</v>
      </c>
      <c r="L41" s="5"/>
      <c r="M41" s="2"/>
      <c r="N41" s="2"/>
      <c r="O41" s="9">
        <v>520</v>
      </c>
      <c r="P41" s="106">
        <f>+MAX(Q_Mandibula2_Duro[[#This Row],[20x36]:[42x48]])</f>
        <v>520</v>
      </c>
      <c r="R41" s="59">
        <v>11</v>
      </c>
      <c r="S41" s="2"/>
      <c r="T41" s="2"/>
      <c r="U41" s="2"/>
      <c r="V41" s="2"/>
      <c r="W41" s="2"/>
      <c r="X41" s="9"/>
      <c r="Y41" s="41">
        <f>+MAX(Q_Mandibula1_medio[[#This Row],[10x16]:[15x38]])</f>
        <v>0</v>
      </c>
      <c r="AA41" s="59">
        <v>11</v>
      </c>
      <c r="AB41" s="2"/>
      <c r="AC41" s="2"/>
      <c r="AD41" s="2"/>
      <c r="AE41" s="9">
        <v>650</v>
      </c>
      <c r="AF41" s="41">
        <f>+MAX(Q_Mandibula2_medio[[#This Row],[20x36]:[42x48]])</f>
        <v>650</v>
      </c>
      <c r="AH41" s="60">
        <v>11</v>
      </c>
      <c r="AI41" s="39"/>
      <c r="AJ41" s="39"/>
      <c r="AK41" s="39"/>
      <c r="AL41" s="39"/>
      <c r="AM41" s="39"/>
      <c r="AN41" s="68"/>
      <c r="AO41" s="113">
        <f>+MAX(Q_Mandibula1_blando[[#This Row],[10x16]:[15x38]])</f>
        <v>0</v>
      </c>
      <c r="AQ41" s="59">
        <v>11</v>
      </c>
      <c r="AR41" s="2"/>
      <c r="AS41" s="2"/>
      <c r="AT41" s="2"/>
      <c r="AU41" s="69">
        <v>780</v>
      </c>
      <c r="AV41" s="41">
        <f>+MAX(Q_Mandibula2_blando[[#This Row],[20x36]:[42x48]])</f>
        <v>780</v>
      </c>
    </row>
    <row r="42" spans="1:48" ht="14.4" x14ac:dyDescent="0.3">
      <c r="A42" s="60">
        <v>12</v>
      </c>
      <c r="B42" s="53"/>
      <c r="C42" s="53"/>
      <c r="D42" s="53"/>
      <c r="E42" s="53"/>
      <c r="F42" s="53"/>
      <c r="G42" s="54"/>
      <c r="H42" s="53">
        <f>+MAX(Q_Mandibula1_Duro[[#This Row],[10x16]:[15x38]])</f>
        <v>0</v>
      </c>
      <c r="I42" s="53" t="str">
        <f>+IF(Q_Mandibula1_Duro[[#This Row],[max]]&gt;DimensionadorTrit!$C$6,MIN((Q_Mandibula1_Duro[[#This Row],[10x16]]-DimensionadorTrit!$C$6)^2),"NO")</f>
        <v>NO</v>
      </c>
      <c r="K42" s="60">
        <v>12</v>
      </c>
      <c r="L42" s="57"/>
      <c r="M42" s="53"/>
      <c r="N42" s="53"/>
      <c r="O42" s="54">
        <v>560</v>
      </c>
      <c r="P42" s="105">
        <f>+MAX(Q_Mandibula2_Duro[[#This Row],[20x36]:[42x48]])</f>
        <v>560</v>
      </c>
      <c r="R42" s="60">
        <v>12</v>
      </c>
      <c r="S42" s="53"/>
      <c r="T42" s="53"/>
      <c r="U42" s="53"/>
      <c r="V42" s="53"/>
      <c r="W42" s="53"/>
      <c r="X42" s="54"/>
      <c r="Y42" s="53">
        <f>+MAX(Q_Mandibula1_medio[[#This Row],[10x16]:[15x38]])</f>
        <v>0</v>
      </c>
      <c r="AA42" s="60">
        <v>12</v>
      </c>
      <c r="AB42" s="53"/>
      <c r="AC42" s="53"/>
      <c r="AD42" s="53"/>
      <c r="AE42" s="54">
        <v>700</v>
      </c>
      <c r="AF42" s="53">
        <f>+MAX(Q_Mandibula2_medio[[#This Row],[20x36]:[42x48]])</f>
        <v>700</v>
      </c>
      <c r="AH42" s="59">
        <v>12</v>
      </c>
      <c r="AI42" s="41"/>
      <c r="AJ42" s="41"/>
      <c r="AK42" s="41"/>
      <c r="AL42" s="41"/>
      <c r="AM42" s="41"/>
      <c r="AN42" s="67"/>
      <c r="AO42" s="110"/>
      <c r="AQ42" s="60">
        <v>12</v>
      </c>
      <c r="AR42" s="53"/>
      <c r="AS42" s="53"/>
      <c r="AT42" s="53"/>
      <c r="AU42" s="54">
        <v>840</v>
      </c>
      <c r="AV42" s="53">
        <f>+MAX(Q_Mandibula2_blando[[#This Row],[20x36]:[42x48]])</f>
        <v>840</v>
      </c>
    </row>
  </sheetData>
  <sheetProtection algorithmName="SHA-512" hashValue="mG64WISk3rScKHhMHdgJ7fvrXcSEliCvhSvvCQ9nl+AhBMdb9VcUHX6zc6qMjvjOqIsF0trWp0pJDinesklnIw==" saltValue="RlkPcK2Ph0nYTnETdYqH5Q==" spinCount="100000" sheet="1" objects="1" scenarios="1"/>
  <mergeCells count="16">
    <mergeCell ref="AB24:AE24"/>
    <mergeCell ref="AI24:AN24"/>
    <mergeCell ref="AR24:AU24"/>
    <mergeCell ref="B24:G24"/>
    <mergeCell ref="L24:O24"/>
    <mergeCell ref="S24:X24"/>
    <mergeCell ref="B1:D1"/>
    <mergeCell ref="E1:G1"/>
    <mergeCell ref="J1:L1"/>
    <mergeCell ref="Q1:S1"/>
    <mergeCell ref="T1:V1"/>
    <mergeCell ref="W1:Z1"/>
    <mergeCell ref="AA1:AC1"/>
    <mergeCell ref="AD1:AG1"/>
    <mergeCell ref="AH1:AJ1"/>
    <mergeCell ref="M1:O1"/>
  </mergeCells>
  <phoneticPr fontId="5" type="noConversion"/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1"/>
  <dimension ref="A1:Y42"/>
  <sheetViews>
    <sheetView topLeftCell="D1" workbookViewId="0">
      <selection activeCell="S8" sqref="S8"/>
    </sheetView>
  </sheetViews>
  <sheetFormatPr baseColWidth="10" defaultColWidth="10.90625" defaultRowHeight="13.8" x14ac:dyDescent="0.25"/>
  <cols>
    <col min="1" max="1" width="11.6328125" style="78"/>
    <col min="3" max="3" width="12.90625" bestFit="1" customWidth="1"/>
    <col min="5" max="5" width="11.08984375" customWidth="1"/>
    <col min="6" max="6" width="11.36328125" customWidth="1"/>
  </cols>
  <sheetData>
    <row r="1" spans="2:25" ht="14.4" x14ac:dyDescent="0.3">
      <c r="H1" s="302" t="s">
        <v>70</v>
      </c>
      <c r="I1" s="302"/>
      <c r="J1" s="302"/>
      <c r="K1" s="302"/>
      <c r="L1" s="302"/>
      <c r="M1" s="302"/>
      <c r="N1" s="302"/>
      <c r="O1" s="302"/>
      <c r="P1" s="302"/>
      <c r="Q1" s="302"/>
      <c r="R1" s="302"/>
    </row>
    <row r="2" spans="2:25" ht="14.4" x14ac:dyDescent="0.3">
      <c r="B2" s="7" t="s">
        <v>47</v>
      </c>
      <c r="C2" s="7" t="s">
        <v>46</v>
      </c>
      <c r="D2" s="7" t="s">
        <v>42</v>
      </c>
      <c r="E2" s="7" t="s">
        <v>43</v>
      </c>
      <c r="F2" s="7" t="s">
        <v>44</v>
      </c>
      <c r="G2" s="11" t="s">
        <v>45</v>
      </c>
      <c r="H2" s="6" t="s">
        <v>59</v>
      </c>
      <c r="I2" s="6" t="s">
        <v>60</v>
      </c>
      <c r="J2" s="6" t="s">
        <v>61</v>
      </c>
      <c r="K2" s="6" t="s">
        <v>62</v>
      </c>
      <c r="L2" s="89" t="s">
        <v>63</v>
      </c>
      <c r="M2" s="6" t="s">
        <v>64</v>
      </c>
      <c r="N2" s="6" t="s">
        <v>65</v>
      </c>
      <c r="O2" s="6" t="s">
        <v>66</v>
      </c>
      <c r="P2" s="6" t="s">
        <v>67</v>
      </c>
      <c r="Q2" s="6" t="s">
        <v>68</v>
      </c>
      <c r="R2" s="6" t="s">
        <v>69</v>
      </c>
      <c r="S2" s="1"/>
      <c r="T2" s="1"/>
      <c r="U2" s="1"/>
      <c r="V2" s="1"/>
      <c r="W2" s="1"/>
      <c r="X2" s="1"/>
      <c r="Y2" s="1"/>
    </row>
    <row r="3" spans="2:25" ht="14.4" x14ac:dyDescent="0.3">
      <c r="B3" s="7" t="s">
        <v>48</v>
      </c>
      <c r="C3" s="11">
        <v>2</v>
      </c>
      <c r="D3" s="7" t="s">
        <v>49</v>
      </c>
      <c r="E3" s="12">
        <v>3.25</v>
      </c>
      <c r="F3" s="6">
        <f>2+0.75</f>
        <v>2.75</v>
      </c>
      <c r="G3" s="12">
        <f>3/8</f>
        <v>0.375</v>
      </c>
      <c r="H3" s="7">
        <v>17</v>
      </c>
      <c r="I3" s="7">
        <v>22</v>
      </c>
      <c r="J3" s="7">
        <v>27</v>
      </c>
      <c r="K3" s="7">
        <v>32</v>
      </c>
      <c r="L3" s="7">
        <v>37</v>
      </c>
      <c r="M3" s="7">
        <v>42</v>
      </c>
      <c r="N3" s="7">
        <v>47</v>
      </c>
      <c r="O3" s="7">
        <v>53</v>
      </c>
      <c r="P3" s="7"/>
      <c r="Q3" s="7"/>
      <c r="R3" s="7"/>
    </row>
    <row r="4" spans="2:25" ht="14.4" x14ac:dyDescent="0.3">
      <c r="B4" s="7" t="s">
        <v>48</v>
      </c>
      <c r="C4" s="11">
        <v>2</v>
      </c>
      <c r="D4" s="7" t="s">
        <v>50</v>
      </c>
      <c r="E4" s="12">
        <v>2.5</v>
      </c>
      <c r="F4" s="6">
        <f>1+0.875</f>
        <v>1.875</v>
      </c>
      <c r="G4" s="12">
        <f>1/4</f>
        <v>0.25</v>
      </c>
      <c r="H4" s="7">
        <v>17</v>
      </c>
      <c r="I4" s="7">
        <v>22</v>
      </c>
      <c r="J4" s="7">
        <v>27</v>
      </c>
      <c r="K4" s="7">
        <v>32</v>
      </c>
      <c r="L4" s="7">
        <v>37</v>
      </c>
      <c r="M4" s="7">
        <v>42</v>
      </c>
      <c r="N4" s="7">
        <v>47</v>
      </c>
      <c r="O4" s="7">
        <v>53</v>
      </c>
      <c r="P4" s="7"/>
      <c r="Q4" s="7"/>
      <c r="R4" s="7"/>
    </row>
    <row r="5" spans="2:25" ht="14.4" x14ac:dyDescent="0.3">
      <c r="B5" s="7" t="s">
        <v>52</v>
      </c>
      <c r="C5" s="11">
        <v>2</v>
      </c>
      <c r="D5" s="7" t="s">
        <v>49</v>
      </c>
      <c r="E5" s="12">
        <v>4.375</v>
      </c>
      <c r="F5" s="6">
        <f>4+0.125</f>
        <v>4.125</v>
      </c>
      <c r="G5" s="12">
        <v>0.5</v>
      </c>
      <c r="H5" s="7"/>
      <c r="I5" s="7"/>
      <c r="J5" s="7">
        <v>27</v>
      </c>
      <c r="K5" s="7">
        <v>32</v>
      </c>
      <c r="L5" s="7">
        <v>37</v>
      </c>
      <c r="M5" s="7">
        <v>42</v>
      </c>
      <c r="N5" s="7">
        <v>47</v>
      </c>
      <c r="O5" s="7">
        <v>53</v>
      </c>
      <c r="P5" s="7"/>
      <c r="Q5" s="7"/>
      <c r="R5" s="7"/>
    </row>
    <row r="6" spans="2:25" ht="14.4" x14ac:dyDescent="0.3">
      <c r="B6" s="7" t="s">
        <v>53</v>
      </c>
      <c r="C6" s="11">
        <v>3</v>
      </c>
      <c r="D6" s="7" t="s">
        <v>51</v>
      </c>
      <c r="E6" s="12">
        <v>7.125</v>
      </c>
      <c r="F6" s="6">
        <f>6+0.25</f>
        <v>6.25</v>
      </c>
      <c r="G6" s="12">
        <v>0.75</v>
      </c>
      <c r="H6" s="7"/>
      <c r="I6" s="7">
        <v>36</v>
      </c>
      <c r="J6" s="7">
        <v>41</v>
      </c>
      <c r="K6" s="7">
        <v>56</v>
      </c>
      <c r="L6" s="7">
        <v>71</v>
      </c>
      <c r="M6" s="7">
        <v>77</v>
      </c>
      <c r="N6" s="7">
        <v>83</v>
      </c>
      <c r="O6" s="7">
        <v>89</v>
      </c>
      <c r="P6" s="7">
        <v>105</v>
      </c>
      <c r="Q6" s="7">
        <v>110</v>
      </c>
      <c r="R6" s="7"/>
    </row>
    <row r="7" spans="2:25" ht="14.4" x14ac:dyDescent="0.3">
      <c r="B7" s="7" t="s">
        <v>53</v>
      </c>
      <c r="C7" s="11">
        <v>3</v>
      </c>
      <c r="D7" s="7" t="s">
        <v>49</v>
      </c>
      <c r="E7" s="12">
        <v>5</v>
      </c>
      <c r="F7" s="6">
        <v>4</v>
      </c>
      <c r="G7" s="12">
        <v>0.5</v>
      </c>
      <c r="H7" s="7"/>
      <c r="I7" s="7">
        <v>36</v>
      </c>
      <c r="J7" s="7">
        <v>41</v>
      </c>
      <c r="K7" s="7">
        <v>56</v>
      </c>
      <c r="L7" s="7">
        <v>71</v>
      </c>
      <c r="M7" s="7">
        <v>77</v>
      </c>
      <c r="N7" s="7">
        <v>83</v>
      </c>
      <c r="O7" s="7">
        <v>89</v>
      </c>
      <c r="P7" s="7">
        <v>105</v>
      </c>
      <c r="Q7" s="7">
        <v>110</v>
      </c>
      <c r="R7" s="7"/>
    </row>
    <row r="8" spans="2:25" ht="14.4" x14ac:dyDescent="0.3">
      <c r="B8" s="7" t="s">
        <v>53</v>
      </c>
      <c r="C8" s="11">
        <v>3</v>
      </c>
      <c r="D8" s="7" t="s">
        <v>50</v>
      </c>
      <c r="E8" s="12">
        <v>4.5</v>
      </c>
      <c r="F8" s="6">
        <f>3+0.75</f>
        <v>3.75</v>
      </c>
      <c r="G8" s="12">
        <v>0.375</v>
      </c>
      <c r="H8" s="7"/>
      <c r="I8" s="7">
        <v>36</v>
      </c>
      <c r="J8" s="7">
        <v>41</v>
      </c>
      <c r="K8" s="7">
        <v>56</v>
      </c>
      <c r="L8" s="7">
        <v>71</v>
      </c>
      <c r="M8" s="7">
        <v>77</v>
      </c>
      <c r="N8" s="7">
        <v>83</v>
      </c>
      <c r="O8" s="7">
        <v>89</v>
      </c>
      <c r="P8" s="7">
        <v>105</v>
      </c>
      <c r="Q8" s="7">
        <v>110</v>
      </c>
      <c r="R8" s="7"/>
    </row>
    <row r="9" spans="2:25" ht="14.4" x14ac:dyDescent="0.3">
      <c r="B9" s="7" t="s">
        <v>54</v>
      </c>
      <c r="C9" s="11">
        <v>3</v>
      </c>
      <c r="D9" s="7" t="s">
        <v>49</v>
      </c>
      <c r="E9" s="12">
        <v>7.375</v>
      </c>
      <c r="F9" s="6">
        <v>6.75</v>
      </c>
      <c r="G9" s="12">
        <v>0.75</v>
      </c>
      <c r="H9" s="7"/>
      <c r="I9" s="7"/>
      <c r="J9" s="7"/>
      <c r="K9" s="7"/>
      <c r="L9" s="7">
        <v>71</v>
      </c>
      <c r="M9" s="7">
        <v>77</v>
      </c>
      <c r="N9" s="7">
        <v>83</v>
      </c>
      <c r="O9" s="7">
        <v>89</v>
      </c>
      <c r="P9" s="7">
        <v>105</v>
      </c>
      <c r="Q9" s="7">
        <v>110</v>
      </c>
      <c r="R9" s="7"/>
    </row>
    <row r="10" spans="2:25" ht="14.4" x14ac:dyDescent="0.3">
      <c r="B10" s="7" t="s">
        <v>55</v>
      </c>
      <c r="C10" s="11">
        <v>4</v>
      </c>
      <c r="D10" s="7" t="s">
        <v>51</v>
      </c>
      <c r="E10" s="12">
        <v>8.5</v>
      </c>
      <c r="F10" s="6">
        <v>7.5</v>
      </c>
      <c r="G10" s="12">
        <v>0.75</v>
      </c>
      <c r="H10" s="7"/>
      <c r="I10" s="7"/>
      <c r="J10" s="7">
        <v>85</v>
      </c>
      <c r="K10" s="7">
        <v>110</v>
      </c>
      <c r="L10" s="7">
        <v>135</v>
      </c>
      <c r="M10" s="7">
        <v>155</v>
      </c>
      <c r="N10" s="7">
        <v>170</v>
      </c>
      <c r="O10" s="7">
        <v>185</v>
      </c>
      <c r="P10" s="7">
        <v>200</v>
      </c>
      <c r="Q10" s="7">
        <v>215</v>
      </c>
      <c r="R10" s="7">
        <v>230</v>
      </c>
    </row>
    <row r="11" spans="2:25" ht="14.4" x14ac:dyDescent="0.3">
      <c r="B11" s="7" t="s">
        <v>55</v>
      </c>
      <c r="C11" s="11">
        <v>4</v>
      </c>
      <c r="D11" s="7" t="s">
        <v>49</v>
      </c>
      <c r="E11" s="12">
        <v>7.5</v>
      </c>
      <c r="F11" s="6">
        <v>6.5</v>
      </c>
      <c r="G11" s="12">
        <v>0.75</v>
      </c>
      <c r="H11" s="7"/>
      <c r="I11" s="7"/>
      <c r="J11" s="7">
        <v>85</v>
      </c>
      <c r="K11" s="7">
        <v>110</v>
      </c>
      <c r="L11" s="7">
        <v>135</v>
      </c>
      <c r="M11" s="7">
        <v>155</v>
      </c>
      <c r="N11" s="7">
        <v>170</v>
      </c>
      <c r="O11" s="7">
        <v>185</v>
      </c>
      <c r="P11" s="7">
        <v>200</v>
      </c>
      <c r="Q11" s="7">
        <v>215</v>
      </c>
      <c r="R11" s="7">
        <v>230</v>
      </c>
    </row>
    <row r="12" spans="2:25" ht="14.4" x14ac:dyDescent="0.3">
      <c r="B12" s="7" t="s">
        <v>55</v>
      </c>
      <c r="C12" s="11">
        <v>4</v>
      </c>
      <c r="D12" s="7" t="s">
        <v>50</v>
      </c>
      <c r="E12" s="12">
        <f>5+0.875</f>
        <v>5.875</v>
      </c>
      <c r="F12" s="6">
        <v>4.75</v>
      </c>
      <c r="G12" s="12">
        <v>0.5</v>
      </c>
      <c r="H12" s="7"/>
      <c r="I12" s="7"/>
      <c r="J12" s="7">
        <v>85</v>
      </c>
      <c r="K12" s="7">
        <v>110</v>
      </c>
      <c r="L12" s="7">
        <v>135</v>
      </c>
      <c r="M12" s="7">
        <v>155</v>
      </c>
      <c r="N12" s="7">
        <v>170</v>
      </c>
      <c r="O12" s="7">
        <v>185</v>
      </c>
      <c r="P12" s="7">
        <v>200</v>
      </c>
      <c r="Q12" s="7">
        <v>215</v>
      </c>
      <c r="R12" s="7">
        <v>230</v>
      </c>
    </row>
    <row r="13" spans="2:25" ht="14.4" x14ac:dyDescent="0.3">
      <c r="B13" s="7" t="s">
        <v>56</v>
      </c>
      <c r="C13" s="11">
        <v>4</v>
      </c>
      <c r="D13" s="7" t="s">
        <v>49</v>
      </c>
      <c r="E13" s="12">
        <v>10</v>
      </c>
      <c r="F13" s="6">
        <v>9</v>
      </c>
      <c r="G13" s="12">
        <v>1</v>
      </c>
      <c r="H13" s="7"/>
      <c r="I13" s="7"/>
      <c r="J13" s="7"/>
      <c r="K13" s="7"/>
      <c r="L13" s="7"/>
      <c r="M13" s="7"/>
      <c r="N13" s="7">
        <v>170</v>
      </c>
      <c r="O13" s="7">
        <v>185</v>
      </c>
      <c r="P13" s="7">
        <v>200</v>
      </c>
      <c r="Q13" s="7">
        <v>215</v>
      </c>
      <c r="R13" s="7">
        <v>230</v>
      </c>
    </row>
    <row r="14" spans="2:25" ht="14.4" x14ac:dyDescent="0.3">
      <c r="B14" s="7" t="s">
        <v>57</v>
      </c>
      <c r="C14" s="11">
        <v>5.5</v>
      </c>
      <c r="D14" s="7" t="s">
        <v>49</v>
      </c>
      <c r="E14" s="12">
        <v>11</v>
      </c>
      <c r="F14" s="6">
        <v>10</v>
      </c>
      <c r="G14" s="12">
        <v>1</v>
      </c>
      <c r="H14" s="7"/>
      <c r="I14" s="7"/>
      <c r="J14" s="7"/>
      <c r="K14" s="7"/>
      <c r="L14" s="7">
        <v>200</v>
      </c>
      <c r="M14" s="7">
        <v>235</v>
      </c>
      <c r="N14" s="7">
        <v>275</v>
      </c>
      <c r="O14" s="7">
        <v>320</v>
      </c>
      <c r="P14" s="7">
        <v>365</v>
      </c>
      <c r="Q14" s="7">
        <v>410</v>
      </c>
      <c r="R14" s="7">
        <v>455</v>
      </c>
    </row>
    <row r="15" spans="2:25" ht="14.4" x14ac:dyDescent="0.3">
      <c r="B15" s="7" t="s">
        <v>57</v>
      </c>
      <c r="C15" s="11">
        <v>5.5</v>
      </c>
      <c r="D15" s="7" t="s">
        <v>50</v>
      </c>
      <c r="E15" s="12">
        <v>9</v>
      </c>
      <c r="F15" s="6">
        <v>8</v>
      </c>
      <c r="G15" s="12">
        <v>0.75</v>
      </c>
      <c r="H15" s="7"/>
      <c r="I15" s="7"/>
      <c r="J15" s="7"/>
      <c r="K15" s="7"/>
      <c r="L15" s="7">
        <v>200</v>
      </c>
      <c r="M15" s="7">
        <v>235</v>
      </c>
      <c r="N15" s="7">
        <v>275</v>
      </c>
      <c r="O15" s="7">
        <v>320</v>
      </c>
      <c r="P15" s="7">
        <v>365</v>
      </c>
      <c r="Q15" s="7">
        <v>410</v>
      </c>
      <c r="R15" s="7">
        <v>455</v>
      </c>
    </row>
    <row r="16" spans="2:25" ht="14.4" x14ac:dyDescent="0.3">
      <c r="B16" s="7" t="s">
        <v>58</v>
      </c>
      <c r="C16" s="11">
        <v>5.5</v>
      </c>
      <c r="D16" s="7" t="s">
        <v>49</v>
      </c>
      <c r="E16" s="12">
        <v>15</v>
      </c>
      <c r="F16" s="6">
        <v>14</v>
      </c>
      <c r="G16" s="12">
        <v>1.5</v>
      </c>
      <c r="H16" s="7"/>
      <c r="I16" s="7"/>
      <c r="J16" s="7"/>
      <c r="K16" s="7"/>
      <c r="L16" s="7"/>
      <c r="M16" s="7"/>
      <c r="N16" s="7"/>
      <c r="O16" s="7"/>
      <c r="P16" s="7">
        <v>365</v>
      </c>
      <c r="Q16" s="7">
        <v>410</v>
      </c>
      <c r="R16" s="7">
        <v>455</v>
      </c>
    </row>
    <row r="17" spans="2:18" ht="14.4" x14ac:dyDescent="0.3"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2:18" ht="14.4" x14ac:dyDescent="0.3"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20" spans="2:18" ht="15" thickBot="1" x14ac:dyDescent="0.35">
      <c r="B20" s="96" t="s">
        <v>47</v>
      </c>
      <c r="C20" s="96" t="s">
        <v>46</v>
      </c>
      <c r="D20" s="96" t="s">
        <v>42</v>
      </c>
      <c r="E20" s="96" t="s">
        <v>43</v>
      </c>
      <c r="F20" s="96" t="s">
        <v>44</v>
      </c>
      <c r="G20" s="97" t="s">
        <v>45</v>
      </c>
      <c r="H20" s="98" t="s">
        <v>59</v>
      </c>
      <c r="I20" s="98" t="s">
        <v>60</v>
      </c>
      <c r="J20" s="98" t="s">
        <v>61</v>
      </c>
      <c r="K20" s="98" t="s">
        <v>62</v>
      </c>
      <c r="L20" s="99" t="s">
        <v>63</v>
      </c>
      <c r="M20" s="98" t="s">
        <v>64</v>
      </c>
      <c r="N20" s="98" t="s">
        <v>65</v>
      </c>
      <c r="O20" s="98" t="s">
        <v>66</v>
      </c>
      <c r="P20" s="98" t="s">
        <v>67</v>
      </c>
      <c r="Q20" s="98" t="s">
        <v>68</v>
      </c>
      <c r="R20" s="98" t="s">
        <v>69</v>
      </c>
    </row>
    <row r="21" spans="2:18" ht="14.4" x14ac:dyDescent="0.3">
      <c r="B21" s="91" t="s">
        <v>171</v>
      </c>
      <c r="C21" s="92">
        <v>2</v>
      </c>
      <c r="D21" s="91" t="s">
        <v>49</v>
      </c>
      <c r="E21" s="93">
        <v>3.25</v>
      </c>
      <c r="F21" s="94">
        <f>2+0.75</f>
        <v>2.75</v>
      </c>
      <c r="G21" s="93">
        <f>3/8</f>
        <v>0.375</v>
      </c>
      <c r="H21" s="91">
        <v>17</v>
      </c>
      <c r="I21" s="91">
        <v>22</v>
      </c>
      <c r="J21" s="91">
        <v>27</v>
      </c>
      <c r="K21" s="91">
        <v>32</v>
      </c>
      <c r="L21" s="91">
        <v>37</v>
      </c>
      <c r="M21" s="91">
        <v>42</v>
      </c>
      <c r="N21" s="91">
        <v>47</v>
      </c>
      <c r="O21" s="91">
        <v>53</v>
      </c>
      <c r="P21" s="91"/>
      <c r="Q21" s="91"/>
      <c r="R21" s="91"/>
    </row>
    <row r="22" spans="2:18" ht="14.4" x14ac:dyDescent="0.3">
      <c r="B22" s="91" t="s">
        <v>171</v>
      </c>
      <c r="C22" s="79">
        <v>2</v>
      </c>
      <c r="D22" s="7" t="s">
        <v>50</v>
      </c>
      <c r="E22" s="12">
        <v>2.5</v>
      </c>
      <c r="F22" s="6">
        <f>1+0.875</f>
        <v>1.875</v>
      </c>
      <c r="G22" s="12">
        <f>1/4</f>
        <v>0.25</v>
      </c>
      <c r="H22" s="7">
        <v>17</v>
      </c>
      <c r="I22" s="7">
        <v>22</v>
      </c>
      <c r="J22" s="7">
        <v>27</v>
      </c>
      <c r="K22" s="7">
        <v>32</v>
      </c>
      <c r="L22" s="7">
        <v>37</v>
      </c>
      <c r="M22" s="7">
        <v>42</v>
      </c>
      <c r="N22" s="7">
        <v>47</v>
      </c>
      <c r="O22" s="7">
        <v>53</v>
      </c>
      <c r="P22" s="7"/>
      <c r="Q22" s="7"/>
      <c r="R22" s="7"/>
    </row>
    <row r="23" spans="2:18" ht="14.4" x14ac:dyDescent="0.3">
      <c r="B23" s="91" t="s">
        <v>171</v>
      </c>
      <c r="C23" s="92">
        <v>2</v>
      </c>
      <c r="D23" t="s">
        <v>181</v>
      </c>
      <c r="E23">
        <v>0</v>
      </c>
      <c r="F23" s="78">
        <v>0</v>
      </c>
      <c r="G23" s="78">
        <v>0</v>
      </c>
      <c r="H23" s="78">
        <v>0</v>
      </c>
      <c r="I23" s="78">
        <v>0</v>
      </c>
      <c r="J23" s="78">
        <v>0</v>
      </c>
      <c r="K23" s="78">
        <v>0</v>
      </c>
      <c r="L23" s="78">
        <v>0</v>
      </c>
      <c r="M23" s="78">
        <v>0</v>
      </c>
      <c r="N23" s="78">
        <v>0</v>
      </c>
      <c r="O23" s="78">
        <v>0</v>
      </c>
      <c r="P23" s="78">
        <v>0</v>
      </c>
      <c r="Q23" s="78">
        <v>0</v>
      </c>
      <c r="R23" s="78">
        <v>0</v>
      </c>
    </row>
    <row r="24" spans="2:18" ht="14.4" x14ac:dyDescent="0.3">
      <c r="B24" s="91" t="s">
        <v>171</v>
      </c>
    </row>
    <row r="26" spans="2:18" ht="15" thickBot="1" x14ac:dyDescent="0.35">
      <c r="B26" s="96" t="s">
        <v>47</v>
      </c>
      <c r="C26" s="96" t="s">
        <v>46</v>
      </c>
      <c r="D26" s="96" t="s">
        <v>42</v>
      </c>
      <c r="E26" s="96" t="s">
        <v>43</v>
      </c>
      <c r="F26" s="96" t="s">
        <v>44</v>
      </c>
      <c r="G26" s="97" t="s">
        <v>45</v>
      </c>
      <c r="H26" s="98" t="s">
        <v>59</v>
      </c>
      <c r="I26" s="98" t="s">
        <v>60</v>
      </c>
      <c r="J26" s="98" t="s">
        <v>61</v>
      </c>
      <c r="K26" s="98" t="s">
        <v>62</v>
      </c>
      <c r="L26" s="99" t="s">
        <v>63</v>
      </c>
      <c r="M26" s="98" t="s">
        <v>64</v>
      </c>
      <c r="N26" s="98" t="s">
        <v>65</v>
      </c>
      <c r="O26" s="98" t="s">
        <v>66</v>
      </c>
      <c r="P26" s="98" t="s">
        <v>67</v>
      </c>
      <c r="Q26" s="98" t="s">
        <v>68</v>
      </c>
      <c r="R26" s="98" t="s">
        <v>69</v>
      </c>
    </row>
    <row r="27" spans="2:18" ht="14.4" x14ac:dyDescent="0.3">
      <c r="B27" s="7" t="s">
        <v>169</v>
      </c>
      <c r="C27" s="79">
        <v>3</v>
      </c>
      <c r="D27" s="7" t="s">
        <v>51</v>
      </c>
      <c r="E27" s="12">
        <v>7.125</v>
      </c>
      <c r="F27" s="6">
        <f>6+0.25</f>
        <v>6.25</v>
      </c>
      <c r="G27" s="12">
        <v>0.75</v>
      </c>
      <c r="H27" s="7"/>
      <c r="I27" s="7">
        <v>36</v>
      </c>
      <c r="J27" s="7">
        <v>41</v>
      </c>
      <c r="K27" s="7">
        <v>56</v>
      </c>
      <c r="L27" s="7">
        <v>71</v>
      </c>
      <c r="M27" s="7">
        <v>77</v>
      </c>
      <c r="N27" s="7">
        <v>83</v>
      </c>
      <c r="O27" s="7">
        <v>89</v>
      </c>
      <c r="P27" s="7">
        <v>105</v>
      </c>
      <c r="Q27" s="7">
        <v>110</v>
      </c>
      <c r="R27" s="7"/>
    </row>
    <row r="28" spans="2:18" ht="14.4" x14ac:dyDescent="0.3">
      <c r="B28" s="7" t="s">
        <v>169</v>
      </c>
      <c r="C28" s="92">
        <v>3</v>
      </c>
      <c r="D28" s="91" t="s">
        <v>49</v>
      </c>
      <c r="E28" s="93">
        <v>5</v>
      </c>
      <c r="F28" s="94">
        <v>4</v>
      </c>
      <c r="G28" s="93">
        <v>0.5</v>
      </c>
      <c r="H28" s="91"/>
      <c r="I28" s="91">
        <v>36</v>
      </c>
      <c r="J28" s="91">
        <v>41</v>
      </c>
      <c r="K28" s="91">
        <v>56</v>
      </c>
      <c r="L28" s="91">
        <v>71</v>
      </c>
      <c r="M28" s="91">
        <v>77</v>
      </c>
      <c r="N28" s="91">
        <v>83</v>
      </c>
      <c r="O28" s="91">
        <v>89</v>
      </c>
      <c r="P28" s="91">
        <v>105</v>
      </c>
      <c r="Q28" s="91">
        <v>110</v>
      </c>
      <c r="R28" s="91"/>
    </row>
    <row r="29" spans="2:18" ht="14.4" x14ac:dyDescent="0.3">
      <c r="B29" s="7" t="s">
        <v>169</v>
      </c>
      <c r="C29" s="79">
        <v>3</v>
      </c>
      <c r="D29" s="7" t="s">
        <v>50</v>
      </c>
      <c r="E29" s="12">
        <v>4.5</v>
      </c>
      <c r="F29" s="6">
        <f>3+0.75</f>
        <v>3.75</v>
      </c>
      <c r="G29" s="12">
        <v>0.375</v>
      </c>
      <c r="H29" s="7"/>
      <c r="I29" s="7">
        <v>36</v>
      </c>
      <c r="J29" s="7">
        <v>41</v>
      </c>
      <c r="K29" s="7">
        <v>56</v>
      </c>
      <c r="L29" s="7">
        <v>71</v>
      </c>
      <c r="M29" s="7">
        <v>77</v>
      </c>
      <c r="N29" s="7">
        <v>83</v>
      </c>
      <c r="O29" s="7">
        <v>89</v>
      </c>
      <c r="P29" s="7">
        <v>105</v>
      </c>
      <c r="Q29" s="7">
        <v>110</v>
      </c>
      <c r="R29" s="7"/>
    </row>
    <row r="30" spans="2:18" ht="14.4" x14ac:dyDescent="0.3">
      <c r="B30" s="7" t="s">
        <v>169</v>
      </c>
      <c r="C30" s="92">
        <v>3</v>
      </c>
      <c r="D30" s="91" t="s">
        <v>49</v>
      </c>
      <c r="E30" s="93">
        <v>7.375</v>
      </c>
      <c r="F30" s="94">
        <v>6.75</v>
      </c>
      <c r="G30" s="93">
        <v>0.75</v>
      </c>
      <c r="H30" s="91"/>
      <c r="I30" s="91"/>
      <c r="J30" s="91"/>
      <c r="K30" s="91"/>
      <c r="L30" s="91">
        <v>71</v>
      </c>
      <c r="M30" s="91">
        <v>77</v>
      </c>
      <c r="N30" s="91">
        <v>83</v>
      </c>
      <c r="O30" s="91">
        <v>89</v>
      </c>
      <c r="P30" s="91">
        <v>105</v>
      </c>
      <c r="Q30" s="91">
        <v>110</v>
      </c>
      <c r="R30" s="91"/>
    </row>
    <row r="32" spans="2:18" ht="15" thickBot="1" x14ac:dyDescent="0.35">
      <c r="B32" s="96" t="s">
        <v>47</v>
      </c>
      <c r="C32" s="96" t="s">
        <v>46</v>
      </c>
      <c r="D32" s="96" t="s">
        <v>42</v>
      </c>
      <c r="E32" s="96" t="s">
        <v>43</v>
      </c>
      <c r="F32" s="96" t="s">
        <v>44</v>
      </c>
      <c r="G32" s="97" t="s">
        <v>45</v>
      </c>
      <c r="H32" s="98" t="s">
        <v>59</v>
      </c>
      <c r="I32" s="98" t="s">
        <v>60</v>
      </c>
      <c r="J32" s="98" t="s">
        <v>61</v>
      </c>
      <c r="K32" s="98" t="s">
        <v>62</v>
      </c>
      <c r="L32" s="99" t="s">
        <v>63</v>
      </c>
      <c r="M32" s="98" t="s">
        <v>64</v>
      </c>
      <c r="N32" s="98" t="s">
        <v>65</v>
      </c>
      <c r="O32" s="98" t="s">
        <v>66</v>
      </c>
      <c r="P32" s="98" t="s">
        <v>67</v>
      </c>
      <c r="Q32" s="98" t="s">
        <v>68</v>
      </c>
      <c r="R32" s="98" t="s">
        <v>69</v>
      </c>
    </row>
    <row r="33" spans="2:18" ht="14.4" x14ac:dyDescent="0.3">
      <c r="B33" s="7" t="s">
        <v>170</v>
      </c>
      <c r="C33" s="79">
        <v>4</v>
      </c>
      <c r="D33" s="7" t="s">
        <v>51</v>
      </c>
      <c r="E33" s="12">
        <v>8.5</v>
      </c>
      <c r="F33" s="6">
        <v>7.5</v>
      </c>
      <c r="G33" s="12">
        <v>0.75</v>
      </c>
      <c r="H33" s="7"/>
      <c r="I33" s="7"/>
      <c r="J33" s="7">
        <v>85</v>
      </c>
      <c r="K33" s="7">
        <v>110</v>
      </c>
      <c r="L33" s="7">
        <v>135</v>
      </c>
      <c r="M33" s="7">
        <v>155</v>
      </c>
      <c r="N33" s="7">
        <v>170</v>
      </c>
      <c r="O33" s="7">
        <v>185</v>
      </c>
      <c r="P33" s="7">
        <v>200</v>
      </c>
      <c r="Q33" s="7">
        <v>215</v>
      </c>
      <c r="R33" s="7">
        <v>230</v>
      </c>
    </row>
    <row r="34" spans="2:18" ht="14.4" x14ac:dyDescent="0.3">
      <c r="B34" s="7" t="s">
        <v>170</v>
      </c>
      <c r="C34" s="92">
        <v>4</v>
      </c>
      <c r="D34" s="91" t="s">
        <v>49</v>
      </c>
      <c r="E34" s="93">
        <v>7.5</v>
      </c>
      <c r="F34" s="94">
        <v>6.5</v>
      </c>
      <c r="G34" s="93">
        <v>0.75</v>
      </c>
      <c r="H34" s="91"/>
      <c r="I34" s="91"/>
      <c r="J34" s="91">
        <v>85</v>
      </c>
      <c r="K34" s="91">
        <v>110</v>
      </c>
      <c r="L34" s="91">
        <v>135</v>
      </c>
      <c r="M34" s="91">
        <v>155</v>
      </c>
      <c r="N34" s="91">
        <v>170</v>
      </c>
      <c r="O34" s="91">
        <v>185</v>
      </c>
      <c r="P34" s="91">
        <v>200</v>
      </c>
      <c r="Q34" s="91">
        <v>215</v>
      </c>
      <c r="R34" s="91">
        <v>230</v>
      </c>
    </row>
    <row r="35" spans="2:18" ht="14.4" x14ac:dyDescent="0.3">
      <c r="B35" s="7" t="s">
        <v>170</v>
      </c>
      <c r="C35" s="79">
        <v>4</v>
      </c>
      <c r="D35" s="7" t="s">
        <v>50</v>
      </c>
      <c r="E35" s="12">
        <f>5+0.875</f>
        <v>5.875</v>
      </c>
      <c r="F35" s="6">
        <v>4.75</v>
      </c>
      <c r="G35" s="12">
        <v>0.5</v>
      </c>
      <c r="H35" s="7"/>
      <c r="I35" s="7"/>
      <c r="J35" s="7">
        <v>85</v>
      </c>
      <c r="K35" s="7">
        <v>110</v>
      </c>
      <c r="L35" s="7">
        <v>135</v>
      </c>
      <c r="M35" s="7">
        <v>155</v>
      </c>
      <c r="N35" s="7">
        <v>170</v>
      </c>
      <c r="O35" s="7">
        <v>185</v>
      </c>
      <c r="P35" s="7">
        <v>200</v>
      </c>
      <c r="Q35" s="7">
        <v>215</v>
      </c>
      <c r="R35" s="7">
        <v>230</v>
      </c>
    </row>
    <row r="36" spans="2:18" ht="14.4" x14ac:dyDescent="0.3">
      <c r="B36" s="7" t="s">
        <v>170</v>
      </c>
      <c r="C36" s="92">
        <v>4</v>
      </c>
      <c r="D36" s="91" t="s">
        <v>49</v>
      </c>
      <c r="E36" s="93">
        <v>10</v>
      </c>
      <c r="F36" s="94">
        <v>9</v>
      </c>
      <c r="G36" s="93">
        <v>1</v>
      </c>
      <c r="H36" s="91"/>
      <c r="I36" s="91"/>
      <c r="J36" s="91"/>
      <c r="K36" s="91"/>
      <c r="L36" s="91"/>
      <c r="M36" s="91"/>
      <c r="N36" s="91">
        <v>170</v>
      </c>
      <c r="O36" s="91">
        <v>185</v>
      </c>
      <c r="P36" s="91">
        <v>200</v>
      </c>
      <c r="Q36" s="91">
        <v>215</v>
      </c>
      <c r="R36" s="91">
        <v>230</v>
      </c>
    </row>
    <row r="38" spans="2:18" ht="15" thickBot="1" x14ac:dyDescent="0.35">
      <c r="B38" s="96" t="s">
        <v>47</v>
      </c>
      <c r="C38" s="96" t="s">
        <v>46</v>
      </c>
      <c r="D38" s="96" t="s">
        <v>42</v>
      </c>
      <c r="E38" s="96" t="s">
        <v>43</v>
      </c>
      <c r="F38" s="96" t="s">
        <v>44</v>
      </c>
      <c r="G38" s="97" t="s">
        <v>45</v>
      </c>
      <c r="H38" s="98" t="s">
        <v>59</v>
      </c>
      <c r="I38" s="98" t="s">
        <v>60</v>
      </c>
      <c r="J38" s="98" t="s">
        <v>61</v>
      </c>
      <c r="K38" s="98" t="s">
        <v>62</v>
      </c>
      <c r="L38" s="99" t="s">
        <v>63</v>
      </c>
      <c r="M38" s="98" t="s">
        <v>64</v>
      </c>
      <c r="N38" s="98" t="s">
        <v>65</v>
      </c>
      <c r="O38" s="98" t="s">
        <v>66</v>
      </c>
      <c r="P38" s="98" t="s">
        <v>67</v>
      </c>
      <c r="Q38" s="98" t="s">
        <v>68</v>
      </c>
      <c r="R38" s="98" t="s">
        <v>69</v>
      </c>
    </row>
    <row r="39" spans="2:18" ht="14.4" x14ac:dyDescent="0.3">
      <c r="B39" s="7" t="s">
        <v>172</v>
      </c>
      <c r="C39" s="79">
        <v>5.5</v>
      </c>
      <c r="D39" s="7" t="s">
        <v>49</v>
      </c>
      <c r="E39" s="12">
        <v>11</v>
      </c>
      <c r="F39" s="6">
        <v>10</v>
      </c>
      <c r="G39" s="12">
        <v>1</v>
      </c>
      <c r="H39" s="7"/>
      <c r="I39" s="7"/>
      <c r="J39" s="7"/>
      <c r="K39" s="7"/>
      <c r="L39" s="7">
        <v>200</v>
      </c>
      <c r="M39" s="7">
        <v>235</v>
      </c>
      <c r="N39" s="7">
        <v>275</v>
      </c>
      <c r="O39" s="7">
        <v>320</v>
      </c>
      <c r="P39" s="7">
        <v>365</v>
      </c>
      <c r="Q39" s="7">
        <v>410</v>
      </c>
      <c r="R39" s="7">
        <v>455</v>
      </c>
    </row>
    <row r="40" spans="2:18" ht="14.4" x14ac:dyDescent="0.3">
      <c r="B40" s="7" t="s">
        <v>172</v>
      </c>
      <c r="C40" s="92">
        <v>5.5</v>
      </c>
      <c r="D40" s="91" t="s">
        <v>50</v>
      </c>
      <c r="E40" s="93">
        <v>9</v>
      </c>
      <c r="F40" s="94">
        <v>8</v>
      </c>
      <c r="G40" s="93">
        <v>0.75</v>
      </c>
      <c r="H40" s="91"/>
      <c r="I40" s="91"/>
      <c r="J40" s="91"/>
      <c r="K40" s="91"/>
      <c r="L40" s="91">
        <v>200</v>
      </c>
      <c r="M40" s="91">
        <v>235</v>
      </c>
      <c r="N40" s="91">
        <v>275</v>
      </c>
      <c r="O40" s="91">
        <v>320</v>
      </c>
      <c r="P40" s="91">
        <v>365</v>
      </c>
      <c r="Q40" s="91">
        <v>410</v>
      </c>
      <c r="R40" s="91">
        <v>455</v>
      </c>
    </row>
    <row r="41" spans="2:18" ht="15" thickBot="1" x14ac:dyDescent="0.35">
      <c r="B41" s="7" t="s">
        <v>172</v>
      </c>
      <c r="C41" s="95">
        <v>5.5</v>
      </c>
      <c r="D41" t="s">
        <v>181</v>
      </c>
      <c r="E41">
        <v>0</v>
      </c>
      <c r="F41" s="78">
        <v>0</v>
      </c>
      <c r="G41" s="78">
        <v>0</v>
      </c>
      <c r="H41" s="78">
        <v>0</v>
      </c>
      <c r="I41" s="78">
        <v>0</v>
      </c>
      <c r="J41" s="78">
        <v>0</v>
      </c>
      <c r="K41" s="78">
        <v>0</v>
      </c>
      <c r="L41" s="78">
        <v>0</v>
      </c>
      <c r="M41" s="78">
        <v>0</v>
      </c>
      <c r="N41" s="78">
        <v>0</v>
      </c>
      <c r="O41" s="78">
        <v>0</v>
      </c>
      <c r="P41" s="78">
        <v>0</v>
      </c>
      <c r="Q41" s="78">
        <v>0</v>
      </c>
      <c r="R41" s="78">
        <v>0</v>
      </c>
    </row>
    <row r="42" spans="2:18" ht="14.4" x14ac:dyDescent="0.3">
      <c r="B42" s="7"/>
    </row>
  </sheetData>
  <sheetProtection algorithmName="SHA-512" hashValue="tba4CheO2EOFNG4LS3lECjLP4vAyMxIhaz4xmDuwfr6Tc/+tJwnsYjGm/3vPmobJXunI48okPe9RALnjGwkGUA==" saltValue="FeStnY0RNi0B4OFFRMUO0Q==" spinCount="100000" sheet="1" objects="1" scenarios="1"/>
  <mergeCells count="1">
    <mergeCell ref="H1:R1"/>
  </mergeCells>
  <phoneticPr fontId="5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"/>
  <dimension ref="A1:AK49"/>
  <sheetViews>
    <sheetView zoomScale="85" zoomScaleNormal="85" workbookViewId="0">
      <selection activeCell="I20" sqref="I19:I20"/>
    </sheetView>
  </sheetViews>
  <sheetFormatPr baseColWidth="10" defaultColWidth="10.90625" defaultRowHeight="14.4" x14ac:dyDescent="0.3"/>
  <cols>
    <col min="1" max="1" width="21.90625" style="144" customWidth="1"/>
    <col min="2" max="2" width="10.36328125" style="144" customWidth="1"/>
    <col min="3" max="3" width="9.90625" style="144" customWidth="1"/>
    <col min="4" max="4" width="9.6328125" style="144" bestFit="1" customWidth="1"/>
    <col min="5" max="5" width="10.90625" style="144"/>
    <col min="6" max="6" width="10.08984375" style="144" customWidth="1"/>
    <col min="7" max="7" width="10.90625" style="144"/>
    <col min="8" max="8" width="10.90625" style="144" customWidth="1"/>
    <col min="9" max="9" width="10.36328125" style="144" customWidth="1"/>
    <col min="10" max="11" width="10.90625" style="144"/>
    <col min="12" max="13" width="5.90625" style="144" customWidth="1"/>
    <col min="14" max="14" width="6.6328125" style="144" customWidth="1"/>
    <col min="15" max="15" width="7.08984375" style="144" customWidth="1"/>
    <col min="16" max="16" width="6" style="144" customWidth="1"/>
    <col min="17" max="17" width="7" style="144" customWidth="1"/>
    <col min="18" max="18" width="5.6328125" style="144" customWidth="1"/>
    <col min="19" max="19" width="0.26953125" style="144" hidden="1" customWidth="1"/>
    <col min="20" max="21" width="4.90625" style="144" bestFit="1" customWidth="1"/>
    <col min="22" max="22" width="10.90625" style="144"/>
    <col min="23" max="29" width="0" style="144" hidden="1" customWidth="1"/>
    <col min="30" max="31" width="10.90625" style="144"/>
    <col min="32" max="36" width="10.90625" style="144" hidden="1" customWidth="1"/>
    <col min="37" max="16384" width="10.90625" style="144"/>
  </cols>
  <sheetData>
    <row r="1" spans="1:37" x14ac:dyDescent="0.3">
      <c r="A1" s="308" t="s">
        <v>218</v>
      </c>
      <c r="B1" s="308"/>
      <c r="C1" s="308"/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176"/>
      <c r="Q1" s="176"/>
      <c r="R1" s="176"/>
    </row>
    <row r="2" spans="1:37" x14ac:dyDescent="0.3">
      <c r="AF2" s="144">
        <f>+INDEX(Mand_usada[],MATCH($B$20,Mand_usada[Tamaño],1),1)</f>
        <v>0</v>
      </c>
      <c r="AG2" s="144">
        <f>+INDEX(Mand_usada[],MATCH($B$20,Mand_usada[Tamaño],1),2)</f>
        <v>0</v>
      </c>
      <c r="AI2" s="144" t="e">
        <f>+INDEX(Con_usada[],MATCH($B$20,Con_usada[Tamaño],1),1)</f>
        <v>#N/A</v>
      </c>
      <c r="AJ2" s="144" t="e">
        <f>+INDEX(Con_usada[],MATCH($B$20,Con_usada[Tamaño],1),2)</f>
        <v>#N/A</v>
      </c>
    </row>
    <row r="3" spans="1:37" x14ac:dyDescent="0.3">
      <c r="A3" s="90" t="str">
        <f>+TEXT(C4,"# ?/?")</f>
        <v xml:space="preserve">5    </v>
      </c>
      <c r="B3" s="148" t="s">
        <v>46</v>
      </c>
      <c r="C3" s="46" t="s">
        <v>119</v>
      </c>
      <c r="D3" s="46" t="s">
        <v>149</v>
      </c>
      <c r="G3" s="177" t="e">
        <f>+I4</f>
        <v>#N/A</v>
      </c>
      <c r="H3" s="148" t="s">
        <v>46</v>
      </c>
      <c r="I3" s="46" t="s">
        <v>119</v>
      </c>
      <c r="J3" s="46" t="s">
        <v>42</v>
      </c>
      <c r="K3" s="46" t="s">
        <v>149</v>
      </c>
      <c r="AF3" s="144" cm="1">
        <f t="array" ref="AF3">+INDEX(Mand_usada[],MATCH($B$20,Mand_usada[Tamaño],1)+1,1)</f>
        <v>2</v>
      </c>
      <c r="AG3" s="144" cm="1">
        <f t="array" ref="AG3">+INDEX(Mand_usada[],MATCH($B$20,Mand_usada[Tamaño],1)+1,2)</f>
        <v>10</v>
      </c>
      <c r="AI3" s="144" cm="1">
        <f t="array" ref="AI3">+INDEX(Mand_usada[],MATCH($B$20,Mand_usada[Tamaño],1)+1,1)</f>
        <v>2</v>
      </c>
      <c r="AJ3" s="144" t="e" cm="1">
        <f t="array" ref="AJ3">+INDEX(Con_usada[],MATCH($B$20,Con_usada[Tamaño],1)+1,2)</f>
        <v>#N/A</v>
      </c>
    </row>
    <row r="4" spans="1:37" x14ac:dyDescent="0.3">
      <c r="A4" s="178" t="s">
        <v>219</v>
      </c>
      <c r="B4" s="179" t="str">
        <f>DimensionadorTrit!Q21</f>
        <v>20x36</v>
      </c>
      <c r="C4" s="180">
        <f>DimensionadorTrit!R21</f>
        <v>5</v>
      </c>
      <c r="D4" s="47">
        <f>+VLOOKUP(B4,DimensionadorTrit!$AK$9:$AM$18,3)</f>
        <v>2</v>
      </c>
      <c r="F4" s="279" t="s">
        <v>220</v>
      </c>
      <c r="G4" s="279"/>
      <c r="H4" s="179" t="e">
        <f>DimensionadorTrit!Q22</f>
        <v>#N/A</v>
      </c>
      <c r="I4" s="181" t="e">
        <f>DimensionadorTrit!R22</f>
        <v>#N/A</v>
      </c>
      <c r="J4" s="179" t="str">
        <f>DimensionadorTrit!S22</f>
        <v>Medium</v>
      </c>
      <c r="K4" s="2" t="e">
        <f>+IF(H4="#24",3,IF(H4="#36",4,IF(H4="#48",5,6)))</f>
        <v>#N/A</v>
      </c>
    </row>
    <row r="5" spans="1:37" ht="15" thickBot="1" x14ac:dyDescent="0.35"/>
    <row r="6" spans="1:37" ht="15" thickBot="1" x14ac:dyDescent="0.35">
      <c r="A6" s="50" t="s">
        <v>221</v>
      </c>
      <c r="B6" s="144" t="s">
        <v>46</v>
      </c>
      <c r="C6" s="144" t="s">
        <v>222</v>
      </c>
      <c r="D6" s="144" t="s">
        <v>223</v>
      </c>
      <c r="F6" s="279" t="s">
        <v>221</v>
      </c>
      <c r="G6" s="279"/>
      <c r="H6" s="96" t="s">
        <v>46</v>
      </c>
      <c r="I6" s="96" t="s">
        <v>222</v>
      </c>
      <c r="J6" s="96" t="s">
        <v>224</v>
      </c>
      <c r="L6" s="309" t="s">
        <v>225</v>
      </c>
      <c r="M6" s="310"/>
      <c r="N6" s="311" t="s">
        <v>201</v>
      </c>
      <c r="O6" s="312"/>
      <c r="P6" s="306" t="s">
        <v>226</v>
      </c>
      <c r="Q6" s="307"/>
      <c r="R6" s="200"/>
      <c r="AF6" s="144">
        <f>+INDEX(Mand_usada[],MATCH($B$21,Mand_usada[Tamaño],1),1)</f>
        <v>0</v>
      </c>
      <c r="AG6" s="144">
        <f>+INDEX(Mand_usada[],MATCH($B$21,Mand_usada[Tamaño],1),2)</f>
        <v>0</v>
      </c>
      <c r="AI6" s="144" t="e">
        <f>+INDEX(Con_usada[],MATCH($B$21,Con_usada[Tamaño],1),1)</f>
        <v>#N/A</v>
      </c>
      <c r="AJ6" s="144" t="e">
        <f>+INDEX(Con_usada[],MATCH($B$21,Con_usada[Tamaño],1),2)</f>
        <v>#N/A</v>
      </c>
    </row>
    <row r="7" spans="1:37" ht="15" thickBot="1" x14ac:dyDescent="0.35">
      <c r="A7" s="144">
        <v>2</v>
      </c>
      <c r="B7" s="144">
        <f>+HLOOKUP($A$3,IF($D$4=1,Curvas_gran_graf_1[#All],Curvas_gran_graf_2[#All]),A7,0)</f>
        <v>0</v>
      </c>
      <c r="C7" s="147">
        <v>0</v>
      </c>
      <c r="D7" s="144">
        <f>+Mand_usada[[#This Row],[Tamaño]]</f>
        <v>0</v>
      </c>
      <c r="F7" s="305">
        <v>2</v>
      </c>
      <c r="G7" s="305"/>
      <c r="H7" s="144" t="e">
        <f>+HLOOKUP($G$3,IF($K$4=3,Tabla18[[#All],[Columna1]:[Columna7]],IF($K$4=4,'Curvas Granul. C'!$B$20:$I$31,IF($K$4=5,'Curvas Granul. C'!$B$37:$K$48,IF($K$4=6,'Curvas Granul. C'!$B$52:$L$63,"se rompio todo")))),F7,0)</f>
        <v>#N/A</v>
      </c>
      <c r="I7" s="144">
        <v>0</v>
      </c>
      <c r="J7" s="144" t="e">
        <f>+Con_usada[[#This Row],[Tamaño]]</f>
        <v>#N/A</v>
      </c>
      <c r="L7" s="194" t="s">
        <v>227</v>
      </c>
      <c r="M7" s="210" t="s">
        <v>228</v>
      </c>
      <c r="N7" s="219" t="s">
        <v>153</v>
      </c>
      <c r="O7" s="220" t="s">
        <v>75</v>
      </c>
      <c r="P7" s="214" t="s">
        <v>153</v>
      </c>
      <c r="Q7" s="195" t="s">
        <v>75</v>
      </c>
      <c r="R7" s="201" t="s">
        <v>154</v>
      </c>
      <c r="T7" s="193"/>
      <c r="U7" s="193"/>
      <c r="V7" s="193"/>
      <c r="W7" s="193" cm="1">
        <f t="array" ref="W7:Y7">+INDEX(Mand_usada[],MATCH($M$8,Mand_usada[Tamaño],1),)</f>
        <v>0</v>
      </c>
      <c r="X7" s="193">
        <v>0</v>
      </c>
      <c r="Y7" s="193">
        <v>0</v>
      </c>
      <c r="Z7" s="193"/>
      <c r="AA7" s="193" t="e" cm="1">
        <f t="array" ref="AA7">+INDEX(Con_usada[],MATCH($M$9,Con_usada[Tamaño],1),)</f>
        <v>#N/A</v>
      </c>
      <c r="AB7" s="193"/>
      <c r="AC7" s="193"/>
      <c r="AD7" s="193"/>
      <c r="AE7" s="193"/>
      <c r="AF7" s="193"/>
      <c r="AG7" s="193"/>
      <c r="AH7" s="193"/>
      <c r="AI7" s="193"/>
      <c r="AJ7" s="193"/>
      <c r="AK7" s="193"/>
    </row>
    <row r="8" spans="1:37" x14ac:dyDescent="0.3">
      <c r="A8" s="144">
        <v>3</v>
      </c>
      <c r="B8" s="144">
        <f>+HLOOKUP($A$3,IF($D$4=1,Curvas_gran_graf_1[#All],Curvas_gran_graf_2[#All]),A8,0)</f>
        <v>2</v>
      </c>
      <c r="C8" s="147">
        <v>10</v>
      </c>
      <c r="D8" s="144">
        <f>+Mand_usada[[#This Row],[Tamaño]]</f>
        <v>2</v>
      </c>
      <c r="F8" s="264">
        <v>3</v>
      </c>
      <c r="G8" s="264"/>
      <c r="H8" s="144" t="e">
        <f>+HLOOKUP($G$3,IF($K$4=3,Tabla18[[#All],[Columna1]:[Columna7]],IF($K$4=4,'Curvas Granul. C'!$B$20:$I$31,IF($K$4=5,'Curvas Granul. C'!$B$37:$K$48,IF($K$4=6,'Curvas Granul. C'!$B$52:$L$63,"se rompio todo")))),F8,0)</f>
        <v>#N/A</v>
      </c>
      <c r="I8" s="144">
        <v>10</v>
      </c>
      <c r="J8" s="144" t="e">
        <f>+Con_usada[[#This Row],[Tamaño]]</f>
        <v>#N/A</v>
      </c>
      <c r="L8" s="206">
        <f>B17</f>
        <v>8</v>
      </c>
      <c r="M8" s="211">
        <f>L9</f>
        <v>1.5</v>
      </c>
      <c r="N8" s="221">
        <f>100-_xlfn.FORECAST.LINEAR(M8,X7:X9,W7:W9)</f>
        <v>92.5</v>
      </c>
      <c r="O8" s="222">
        <f>+N8/100*$O$12</f>
        <v>138.75</v>
      </c>
      <c r="P8" s="215" t="s">
        <v>71</v>
      </c>
      <c r="Q8" s="196" t="s">
        <v>71</v>
      </c>
      <c r="R8" s="202" t="s">
        <v>71</v>
      </c>
    </row>
    <row r="9" spans="1:37" ht="15" thickBot="1" x14ac:dyDescent="0.35">
      <c r="A9" s="144">
        <v>4</v>
      </c>
      <c r="B9" s="144">
        <f>+HLOOKUP($A$3,IF($D$4=1,Curvas_gran_graf_1[#All],Curvas_gran_graf_2[#All]),A9,0)</f>
        <v>3</v>
      </c>
      <c r="C9" s="147">
        <v>20</v>
      </c>
      <c r="D9" s="144">
        <f>+Mand_usada[[#This Row],[Tamaño]]</f>
        <v>3</v>
      </c>
      <c r="F9" s="305">
        <v>4</v>
      </c>
      <c r="G9" s="305"/>
      <c r="H9" s="144" t="e">
        <f>+HLOOKUP($G$3,IF($K$4=3,Tabla18[[#All],[Columna1]:[Columna7]],IF($K$4=4,'Curvas Granul. C'!$B$20:$I$31,IF($K$4=5,'Curvas Granul. C'!$B$37:$K$48,IF($K$4=6,'Curvas Granul. C'!$B$52:$L$63,"se rompio todo")))),F9,0)</f>
        <v>#N/A</v>
      </c>
      <c r="I9" s="144">
        <v>20</v>
      </c>
      <c r="J9" s="144" t="e">
        <f>+Con_usada[[#This Row],[Tamaño]]</f>
        <v>#N/A</v>
      </c>
      <c r="L9" s="207">
        <f>DimensionadorTrit!C10</f>
        <v>1.5</v>
      </c>
      <c r="M9" s="212">
        <f>L10</f>
        <v>1</v>
      </c>
      <c r="N9" s="223">
        <f>+_xlfn.FORECAST.LINEAR(L9,X7:X9,W7:W9)-_xlfn.FORECAST.LINEAR(M9,X10:X11,W10:W11)</f>
        <v>2.5</v>
      </c>
      <c r="O9" s="224">
        <f t="shared" ref="O9:O11" si="0">+N9/100*$O$12</f>
        <v>3.75</v>
      </c>
      <c r="P9" s="208" t="e">
        <f>100-_xlfn.FORECAST.LINEAR(M9,AB7:AB9,AA7:AA9)</f>
        <v>#N/A</v>
      </c>
      <c r="Q9" s="197" t="e">
        <f>+P9/100*$Q$12</f>
        <v>#N/A</v>
      </c>
      <c r="R9" s="203" t="e">
        <f>+O9+Q9</f>
        <v>#N/A</v>
      </c>
      <c r="W9" s="182" cm="1">
        <f t="array" ref="W9:Y9">+INDEX(Mand_usada[],MATCH($M$8,Mand_usada[Tamaño],1)+1,)</f>
        <v>2</v>
      </c>
      <c r="X9" s="183">
        <v>10</v>
      </c>
      <c r="Y9" s="184">
        <v>2</v>
      </c>
      <c r="AA9" s="182" t="e" cm="1">
        <f t="array" ref="AA9">+INDEX(Con_usada[],MATCH($M$9,Con_usada[Tamaño],1)+1,)</f>
        <v>#N/A</v>
      </c>
      <c r="AB9" s="183"/>
      <c r="AC9" s="184"/>
      <c r="AG9" s="128">
        <v>100</v>
      </c>
    </row>
    <row r="10" spans="1:37" x14ac:dyDescent="0.3">
      <c r="A10" s="144">
        <v>5</v>
      </c>
      <c r="B10" s="144">
        <f>+HLOOKUP($A$3,IF($D$4=1,Curvas_gran_graf_1[#All],Curvas_gran_graf_2[#All]),A10,0)</f>
        <v>4</v>
      </c>
      <c r="C10" s="147">
        <v>30</v>
      </c>
      <c r="D10" s="144">
        <f>+Mand_usada[[#This Row],[Tamaño]]</f>
        <v>4</v>
      </c>
      <c r="F10" s="264">
        <v>5</v>
      </c>
      <c r="G10" s="264"/>
      <c r="H10" s="144" t="e">
        <f>+HLOOKUP($G$3,IF($K$4=3,Tabla18[[#All],[Columna1]:[Columna7]],IF($K$4=4,'Curvas Granul. C'!$B$20:$I$31,IF($K$4=5,'Curvas Granul. C'!$B$37:$K$48,IF($K$4=6,'Curvas Granul. C'!$B$52:$L$63,"se rompio todo")))),F10,0)</f>
        <v>#N/A</v>
      </c>
      <c r="I10" s="144">
        <v>30</v>
      </c>
      <c r="J10" s="144" t="e">
        <f>+Con_usada[[#This Row],[Tamaño]]</f>
        <v>#N/A</v>
      </c>
      <c r="L10" s="207">
        <f>DimensionadorTrit!C12</f>
        <v>1</v>
      </c>
      <c r="M10" s="212">
        <f>L11</f>
        <v>0.5</v>
      </c>
      <c r="N10" s="223">
        <f>+_xlfn.FORECAST.LINEAR(L10,X10:X11,W10:W11)-_xlfn.FORECAST.LINEAR(M10,X12:X13,W12:W13)</f>
        <v>2.5</v>
      </c>
      <c r="O10" s="224">
        <f t="shared" si="0"/>
        <v>3.75</v>
      </c>
      <c r="P10" s="216" t="e">
        <f>+_xlfn.FORECAST.LINEAR(M9,AB7:AB9,AA7:AA9)-_xlfn.FORECAST.LINEAR(M10,AB10:AB11,AA10:AA11)</f>
        <v>#N/A</v>
      </c>
      <c r="Q10" s="197" t="e">
        <f t="shared" ref="Q10:Q11" si="1">+P10/100*$Q$12</f>
        <v>#N/A</v>
      </c>
      <c r="R10" s="203" t="e">
        <f>+O10+Q10</f>
        <v>#N/A</v>
      </c>
      <c r="W10" s="185" cm="1">
        <f t="array" ref="W10:Y10">+INDEX(Mand_usada[],MATCH($M$9,Mand_usada[Tamaño],1),)</f>
        <v>0</v>
      </c>
      <c r="X10" s="186">
        <v>0</v>
      </c>
      <c r="Y10" s="187">
        <v>0</v>
      </c>
      <c r="AA10" s="185" t="e" cm="1">
        <f t="array" ref="AA10">+INDEX(Con_usada[],MATCH($M$10,Con_usada[Tamaño],1),)</f>
        <v>#N/A</v>
      </c>
      <c r="AB10" s="186"/>
      <c r="AC10" s="187"/>
      <c r="AG10" s="128">
        <v>0</v>
      </c>
    </row>
    <row r="11" spans="1:37" ht="15" thickBot="1" x14ac:dyDescent="0.35">
      <c r="A11" s="144">
        <v>6</v>
      </c>
      <c r="B11" s="144">
        <f>+HLOOKUP($A$3,IF($D$4=1,Curvas_gran_graf_1[#All],Curvas_gran_graf_2[#All]),A11,0)</f>
        <v>4.8</v>
      </c>
      <c r="C11" s="147">
        <v>40</v>
      </c>
      <c r="D11" s="144">
        <f>+Mand_usada[[#This Row],[Tamaño]]</f>
        <v>4.8</v>
      </c>
      <c r="F11" s="305">
        <v>6</v>
      </c>
      <c r="G11" s="305"/>
      <c r="H11" s="144" t="e">
        <f>+HLOOKUP($G$3,IF($K$4=3,Tabla18[[#All],[Columna1]:[Columna7]],IF($K$4=4,'Curvas Granul. C'!$B$20:$I$31,IF($K$4=5,'Curvas Granul. C'!$B$37:$K$48,IF($K$4=6,'Curvas Granul. C'!$B$52:$L$63,"se rompio todo")))),F11,0)</f>
        <v>#N/A</v>
      </c>
      <c r="I11" s="144">
        <v>40</v>
      </c>
      <c r="J11" s="144" t="e">
        <f>+Con_usada[[#This Row],[Tamaño]]</f>
        <v>#N/A</v>
      </c>
      <c r="L11" s="209">
        <f>DimensionadorTrit!C14</f>
        <v>0.5</v>
      </c>
      <c r="M11" s="213">
        <v>0</v>
      </c>
      <c r="N11" s="225">
        <f>+_xlfn.FORECAST.LINEAR(L11,X12:X13,W12:W13)-_xlfn.FORECAST.LINEAR(M11,X14:X15,W14:W15)</f>
        <v>2.5</v>
      </c>
      <c r="O11" s="226">
        <f t="shared" si="0"/>
        <v>3.75</v>
      </c>
      <c r="P11" s="217" t="e">
        <f>+_xlfn.FORECAST.LINEAR(M10,AB10:AB11,AA10:AA11)-_xlfn.FORECAST.LINEAR(M11,AB12:AB13,AA12:AA13)</f>
        <v>#N/A</v>
      </c>
      <c r="Q11" s="198" t="e">
        <f t="shared" si="1"/>
        <v>#N/A</v>
      </c>
      <c r="R11" s="204" t="e">
        <f>+O11+Q11</f>
        <v>#N/A</v>
      </c>
      <c r="W11" s="182" cm="1">
        <f t="array" ref="W11:Y11">+INDEX(Mand_usada[],MATCH($M$9,Mand_usada[Tamaño],1)+1,)</f>
        <v>2</v>
      </c>
      <c r="X11" s="183">
        <v>10</v>
      </c>
      <c r="Y11" s="184">
        <v>2</v>
      </c>
      <c r="AA11" s="182" t="e" cm="1">
        <f t="array" ref="AA11">+INDEX(Con_usada[],MATCH($M$10,Con_usada[Tamaño],1)+1,)</f>
        <v>#N/A</v>
      </c>
      <c r="AB11" s="183"/>
      <c r="AC11" s="184"/>
    </row>
    <row r="12" spans="1:37" ht="15" thickBot="1" x14ac:dyDescent="0.35">
      <c r="A12" s="144">
        <v>7</v>
      </c>
      <c r="B12" s="144">
        <f>+HLOOKUP($A$3,IF($D$4=1,Curvas_gran_graf_1[#All],Curvas_gran_graf_2[#All]),A12,0)</f>
        <v>5</v>
      </c>
      <c r="C12" s="147">
        <v>50</v>
      </c>
      <c r="D12" s="144">
        <f>+Mand_usada[[#This Row],[Tamaño]]</f>
        <v>5</v>
      </c>
      <c r="F12" s="264">
        <v>7</v>
      </c>
      <c r="G12" s="264"/>
      <c r="H12" s="144" t="e">
        <f>+HLOOKUP($G$3,IF($K$4=3,Tabla18[[#All],[Columna1]:[Columna7]],IF($K$4=4,'Curvas Granul. C'!$B$20:$I$31,IF($K$4=5,'Curvas Granul. C'!$B$37:$K$48,IF($K$4=6,'Curvas Granul. C'!$B$52:$L$63,"se rompio todo")))),F12,0)</f>
        <v>#N/A</v>
      </c>
      <c r="I12" s="144">
        <v>50</v>
      </c>
      <c r="J12" s="144" t="e">
        <f>+Con_usada[[#This Row],[Tamaño]]</f>
        <v>#N/A</v>
      </c>
      <c r="L12" s="303" t="s">
        <v>154</v>
      </c>
      <c r="M12" s="304"/>
      <c r="N12" s="227">
        <f>+SUM(N8:N11)</f>
        <v>100</v>
      </c>
      <c r="O12" s="228">
        <f>DimensionadorTrit!C6</f>
        <v>150</v>
      </c>
      <c r="P12" s="218" t="e">
        <f>+SUM(P9:P11)</f>
        <v>#N/A</v>
      </c>
      <c r="Q12" s="199">
        <f>+O8</f>
        <v>138.75</v>
      </c>
      <c r="R12" s="205" t="e">
        <f>+SUM(R8:R11)</f>
        <v>#N/A</v>
      </c>
      <c r="W12" s="185" cm="1">
        <f t="array" ref="W12:Y12">+INDEX(Mand_usada[],MATCH($M$10,Mand_usada[Tamaño],1),)</f>
        <v>0</v>
      </c>
      <c r="X12" s="186">
        <v>0</v>
      </c>
      <c r="Y12" s="187">
        <v>0</v>
      </c>
      <c r="AA12" s="185" t="e" cm="1">
        <f t="array" ref="AA12">+INDEX(Con_usada[],MATCH($M$11,Con_usada[Tamaño],1),)</f>
        <v>#N/A</v>
      </c>
      <c r="AB12" s="186"/>
      <c r="AC12" s="187"/>
      <c r="AF12" s="144">
        <f>+INDEX(Mand_usada[[% pasante peso]:[Tamaño 2]],MATCH($B$29,Mand_usada[% pasante peso],1),1)</f>
        <v>0</v>
      </c>
      <c r="AG12" s="144">
        <f>+INDEX(Mand_usada[[% pasante peso]:[Tamaño 2]],MATCH($B$29,Mand_usada[% pasante peso],1),2)</f>
        <v>0</v>
      </c>
      <c r="AI12" s="144">
        <f>+INDEX(Con_usada[[% pasante peso]:[Tamaño2]],MATCH($H$29,Con_usada[% pasante peso],1),1)</f>
        <v>0</v>
      </c>
      <c r="AJ12" s="144" t="e">
        <f>+INDEX(Con_usada[[% pasante peso]:[Tamaño2]],MATCH($H$29,Con_usada[% pasante peso],1),2)</f>
        <v>#N/A</v>
      </c>
    </row>
    <row r="13" spans="1:37" ht="15" thickBot="1" x14ac:dyDescent="0.35">
      <c r="A13" s="144">
        <v>8</v>
      </c>
      <c r="B13" s="144">
        <f>+HLOOKUP($A$3,IF($D$4=1,Curvas_gran_graf_1[#All],Curvas_gran_graf_2[#All]),A13,0)</f>
        <v>5.5</v>
      </c>
      <c r="C13" s="147">
        <v>60</v>
      </c>
      <c r="D13" s="144">
        <f>+Mand_usada[[#This Row],[Tamaño]]</f>
        <v>5.5</v>
      </c>
      <c r="F13" s="305">
        <v>8</v>
      </c>
      <c r="G13" s="305"/>
      <c r="H13" s="144" t="e">
        <f>+HLOOKUP($G$3,IF($K$4=3,Tabla18[[#All],[Columna1]:[Columna7]],IF($K$4=4,'Curvas Granul. C'!$B$20:$I$31,IF($K$4=5,'Curvas Granul. C'!$B$37:$K$48,IF($K$4=6,'Curvas Granul. C'!$B$52:$L$63,"se rompio todo")))),F13,0)</f>
        <v>#N/A</v>
      </c>
      <c r="I13" s="144">
        <v>60</v>
      </c>
      <c r="J13" s="144" t="e">
        <f>+Con_usada[[#This Row],[Tamaño]]</f>
        <v>#N/A</v>
      </c>
      <c r="L13" s="190"/>
      <c r="M13" s="190"/>
      <c r="N13" s="189"/>
      <c r="O13" s="192"/>
      <c r="P13" s="192"/>
      <c r="Q13" s="192"/>
      <c r="R13" s="192"/>
      <c r="W13" s="182" cm="1">
        <f t="array" ref="W13:Y13">+INDEX(Mand_usada[],MATCH($M$10,Mand_usada[Tamaño],1)+1,)</f>
        <v>2</v>
      </c>
      <c r="X13" s="183">
        <v>10</v>
      </c>
      <c r="Y13" s="184">
        <v>2</v>
      </c>
      <c r="AA13" s="182" t="e" cm="1">
        <f t="array" ref="AA13">+INDEX(Con_usada[],MATCH($M$11,Con_usada[Tamaño],1)+1,)</f>
        <v>#N/A</v>
      </c>
      <c r="AB13" s="183"/>
      <c r="AC13" s="184"/>
      <c r="AF13" s="144" cm="1">
        <f t="array" ref="AF13">+INDEX(Mand_usada[[% pasante peso]:[Tamaño 2]],MATCH($B$29,Mand_usada[% pasante peso],1)+1,1)</f>
        <v>10</v>
      </c>
      <c r="AG13" s="144" cm="1">
        <f t="array" ref="AG13">+INDEX(Mand_usada[[% pasante peso]:[Tamaño 2]],MATCH($B$29,Mand_usada[% pasante peso],1)+1,2)</f>
        <v>2</v>
      </c>
      <c r="AI13" s="144" cm="1">
        <f t="array" ref="AI13">+INDEX(Con_usada[[% pasante peso]:[Tamaño2]],MATCH($H$29,Con_usada[% pasante peso],1)+1,1)</f>
        <v>10</v>
      </c>
      <c r="AJ13" s="144" t="e" cm="1">
        <f t="array" ref="AJ13">+INDEX(Con_usada[[% pasante peso]:[Tamaño2]],MATCH($H$29,Con_usada[% pasante peso],1)+1,2)</f>
        <v>#N/A</v>
      </c>
    </row>
    <row r="14" spans="1:37" x14ac:dyDescent="0.3">
      <c r="A14" s="144">
        <v>9</v>
      </c>
      <c r="B14" s="144">
        <f>+HLOOKUP($A$3,IF($D$4=1,Curvas_gran_graf_1[#All],Curvas_gran_graf_2[#All]),A14,0)</f>
        <v>6</v>
      </c>
      <c r="C14" s="147">
        <v>70</v>
      </c>
      <c r="D14" s="144">
        <f>+Mand_usada[[#This Row],[Tamaño]]</f>
        <v>6</v>
      </c>
      <c r="F14" s="264">
        <v>9</v>
      </c>
      <c r="G14" s="264"/>
      <c r="H14" s="144" t="e">
        <f>+HLOOKUP($G$3,IF($K$4=3,Tabla18[[#All],[Columna1]:[Columna7]],IF($K$4=4,'Curvas Granul. C'!$B$20:$I$31,IF($K$4=5,'Curvas Granul. C'!$B$37:$K$48,IF($K$4=6,'Curvas Granul. C'!$B$52:$L$63,"se rompio todo")))),F14,0)</f>
        <v>#N/A</v>
      </c>
      <c r="I14" s="144">
        <v>70</v>
      </c>
      <c r="J14" s="144" t="e">
        <f>+Con_usada[[#This Row],[Tamaño]]</f>
        <v>#N/A</v>
      </c>
      <c r="L14" s="190"/>
      <c r="M14" s="190"/>
      <c r="N14" s="189"/>
      <c r="O14" s="192"/>
      <c r="P14" s="192"/>
      <c r="Q14" s="192"/>
      <c r="R14" s="192"/>
      <c r="W14" s="185" cm="1">
        <f t="array" ref="W14:Y14">+INDEX(Mand_usada[],MATCH($M$11,Mand_usada[Tamaño],1),)</f>
        <v>0</v>
      </c>
      <c r="X14" s="186">
        <v>0</v>
      </c>
      <c r="Y14" s="187">
        <v>0</v>
      </c>
      <c r="AA14" s="185" t="e" cm="1">
        <f t="array" ref="AA14">+INDEX(Con_usada[],MATCH($L$13,Con_usada[Tamaño],1),)</f>
        <v>#N/A</v>
      </c>
      <c r="AB14" s="186"/>
      <c r="AC14" s="187"/>
    </row>
    <row r="15" spans="1:37" ht="15" thickBot="1" x14ac:dyDescent="0.35">
      <c r="A15" s="144">
        <v>10</v>
      </c>
      <c r="B15" s="144">
        <f>+HLOOKUP($A$3,IF($D$4=1,Curvas_gran_graf_1[#All],Curvas_gran_graf_2[#All]),A15,0)</f>
        <v>6.6</v>
      </c>
      <c r="C15" s="147">
        <v>80</v>
      </c>
      <c r="D15" s="144">
        <f>+Mand_usada[[#This Row],[Tamaño]]</f>
        <v>6.6</v>
      </c>
      <c r="F15" s="305">
        <v>10</v>
      </c>
      <c r="G15" s="305"/>
      <c r="H15" s="144" t="e">
        <f>+HLOOKUP($G$3,IF($K$4=3,Tabla18[[#All],[Columna1]:[Columna7]],IF($K$4=4,'Curvas Granul. C'!$B$20:$I$31,IF($K$4=5,'Curvas Granul. C'!$B$37:$K$48,IF($K$4=6,'Curvas Granul. C'!$B$52:$L$63,"se rompio todo")))),F15,0)</f>
        <v>#N/A</v>
      </c>
      <c r="I15" s="144">
        <v>80</v>
      </c>
      <c r="J15" s="144" t="e">
        <f>+Con_usada[[#This Row],[Tamaño]]</f>
        <v>#N/A</v>
      </c>
      <c r="L15" s="190"/>
      <c r="M15" s="190"/>
      <c r="N15" s="189"/>
      <c r="O15" s="192"/>
      <c r="P15" s="188"/>
      <c r="Q15" s="192"/>
      <c r="R15" s="192"/>
      <c r="W15" s="182" cm="1">
        <f t="array" ref="W15:Y15">+INDEX(Mand_usada[],MATCH($M$11,Mand_usada[Tamaño],1)+1,)</f>
        <v>2</v>
      </c>
      <c r="X15" s="183">
        <v>10</v>
      </c>
      <c r="Y15" s="184">
        <v>2</v>
      </c>
      <c r="AA15" s="182" t="e" cm="1">
        <f t="array" ref="AA15:AC15">+IFERROR(INDEX(Con_usada[],MATCH($L$13,Con_usada[Tamaño],1)+1,),H17:J17)</f>
        <v>#N/A</v>
      </c>
      <c r="AB15" s="183">
        <v>100</v>
      </c>
      <c r="AC15" s="184" t="e">
        <v>#N/A</v>
      </c>
    </row>
    <row r="16" spans="1:37" x14ac:dyDescent="0.3">
      <c r="A16" s="144">
        <v>11</v>
      </c>
      <c r="B16" s="144">
        <f>+HLOOKUP($A$3,IF($D$4=1,Curvas_gran_graf_1[#All],Curvas_gran_graf_2[#All]),A16,0)</f>
        <v>7.2</v>
      </c>
      <c r="C16" s="147">
        <v>90</v>
      </c>
      <c r="D16" s="144">
        <f>+Mand_usada[[#This Row],[Tamaño]]</f>
        <v>7.2</v>
      </c>
      <c r="F16" s="264">
        <v>11</v>
      </c>
      <c r="G16" s="264"/>
      <c r="H16" s="144" t="e">
        <f>+HLOOKUP($G$3,IF($K$4=3,Tabla18[[#All],[Columna1]:[Columna7]],IF($K$4=4,'Curvas Granul. C'!$B$20:$I$31,IF($K$4=5,'Curvas Granul. C'!$B$37:$K$48,IF($K$4=6,'Curvas Granul. C'!$B$52:$L$63,"se rompio todo")))),F16,0)</f>
        <v>#N/A</v>
      </c>
      <c r="I16" s="144">
        <v>90</v>
      </c>
      <c r="J16" s="144" t="e">
        <f>+Con_usada[[#This Row],[Tamaño]]</f>
        <v>#N/A</v>
      </c>
      <c r="L16" s="190"/>
      <c r="M16" s="190"/>
      <c r="N16" s="189"/>
      <c r="O16" s="192"/>
      <c r="P16" s="192"/>
      <c r="Q16" s="192"/>
      <c r="R16" s="192"/>
      <c r="W16" s="185" cm="1">
        <f t="array" ref="W16:Y16">+INDEX(Mand_usada[],MATCH($L$13,Mand_usada[Tamaño],1),)</f>
        <v>0</v>
      </c>
      <c r="X16" s="186">
        <v>0</v>
      </c>
      <c r="Y16" s="187">
        <v>0</v>
      </c>
      <c r="AA16" s="185" t="e" cm="1">
        <f t="array" ref="AA16">+INDEX(Con_usada[],MATCH($M$13,Con_usada[Tamaño],1),)</f>
        <v>#N/A</v>
      </c>
      <c r="AB16" s="186"/>
      <c r="AC16" s="187"/>
    </row>
    <row r="17" spans="1:29" ht="15" thickBot="1" x14ac:dyDescent="0.35">
      <c r="A17" s="144">
        <v>12</v>
      </c>
      <c r="B17" s="144">
        <f>+HLOOKUP($A$3,IF($D$4=1,Curvas_gran_graf_1[#All],Curvas_gran_graf_2[#All]),A17,0)</f>
        <v>8</v>
      </c>
      <c r="C17" s="147">
        <v>100</v>
      </c>
      <c r="D17" s="144">
        <f>+Mand_usada[[#This Row],[Tamaño]]</f>
        <v>8</v>
      </c>
      <c r="F17" s="305">
        <v>12</v>
      </c>
      <c r="G17" s="305"/>
      <c r="H17" s="144" t="e">
        <f>+HLOOKUP($G$3,IF($K$4=3,Tabla18[[#All],[Columna1]:[Columna7]],IF($K$4=4,'Curvas Granul. C'!$B$20:$I$31,IF($K$4=5,'Curvas Granul. C'!$B$37:$K$48,IF($K$4=6,'Curvas Granul. C'!$B$52:$L$63,"se rompio todo")))),F17,0)</f>
        <v>#N/A</v>
      </c>
      <c r="I17" s="144">
        <v>100</v>
      </c>
      <c r="J17" s="144" t="e">
        <f>+Con_usada[[#This Row],[Tamaño]]</f>
        <v>#N/A</v>
      </c>
      <c r="W17" s="182" cm="1">
        <f t="array" ref="W17:Y17">+INDEX(Mand_usada[],MATCH($L$13,Mand_usada[Tamaño],1)+1,)</f>
        <v>2</v>
      </c>
      <c r="X17" s="183">
        <v>10</v>
      </c>
      <c r="Y17" s="184">
        <v>2</v>
      </c>
      <c r="AA17" s="182" t="e" cm="1">
        <f t="array" ref="AA17">+INDEX(Con_usada[],MATCH($M$13,Con_usada[Tamaño],1)+1,)</f>
        <v>#N/A</v>
      </c>
      <c r="AB17" s="183"/>
      <c r="AC17" s="184"/>
    </row>
    <row r="18" spans="1:29" x14ac:dyDescent="0.3">
      <c r="C18" s="147"/>
      <c r="F18" s="147"/>
      <c r="G18" s="147"/>
      <c r="L18" s="193"/>
      <c r="M18" s="193"/>
      <c r="N18" s="193"/>
      <c r="O18" s="193"/>
      <c r="P18" s="193"/>
      <c r="Q18" s="193"/>
      <c r="R18" s="193"/>
      <c r="S18" s="193"/>
      <c r="T18" s="193"/>
      <c r="U18" s="193"/>
      <c r="V18" s="193"/>
      <c r="W18" s="186" cm="1">
        <f t="array" ref="W18:Y18">+INDEX(Mand_usada[],MATCH($M$13,Mand_usada[Tamaño],1),)</f>
        <v>0</v>
      </c>
      <c r="X18" s="186">
        <v>0</v>
      </c>
      <c r="Y18" s="187">
        <v>0</v>
      </c>
      <c r="AA18" s="185" t="e" cm="1">
        <f t="array" ref="AA18">+INDEX(Con_usada[],MATCH($L$14,Con_usada[Tamaño],1),)</f>
        <v>#N/A</v>
      </c>
      <c r="AB18" s="186"/>
      <c r="AC18" s="187"/>
    </row>
    <row r="19" spans="1:29" ht="15" thickBot="1" x14ac:dyDescent="0.35">
      <c r="A19" s="191"/>
      <c r="B19" s="191"/>
      <c r="C19" s="191"/>
      <c r="D19" s="191"/>
      <c r="E19" s="191"/>
      <c r="F19" s="191"/>
      <c r="G19" s="191"/>
      <c r="H19" s="191"/>
      <c r="I19" s="191"/>
      <c r="J19" s="191"/>
      <c r="K19" s="191"/>
      <c r="L19" s="191"/>
      <c r="M19" s="191"/>
      <c r="N19" s="191"/>
      <c r="O19" s="191"/>
      <c r="P19" s="191"/>
      <c r="Q19" s="191"/>
      <c r="R19" s="191"/>
      <c r="W19" s="182" cm="1">
        <f t="array" ref="W19:Y19">+INDEX(Mand_usada[],MATCH($M$13,Mand_usada[Tamaño],1)+1,)</f>
        <v>2</v>
      </c>
      <c r="X19" s="183">
        <v>10</v>
      </c>
      <c r="Y19" s="184">
        <v>2</v>
      </c>
      <c r="AA19" s="182" t="e" cm="1">
        <f t="array" ref="AA19">+INDEX(Con_usada[],MATCH($L$14,Con_usada[Tamaño],1)+1,)</f>
        <v>#N/A</v>
      </c>
      <c r="AB19" s="183"/>
      <c r="AC19" s="184"/>
    </row>
    <row r="20" spans="1:29" x14ac:dyDescent="0.3">
      <c r="A20" s="191"/>
      <c r="B20" s="191"/>
      <c r="C20" s="191"/>
      <c r="D20" s="191"/>
      <c r="E20" s="191"/>
      <c r="F20" s="191"/>
      <c r="G20" s="191"/>
      <c r="H20" s="191"/>
      <c r="I20" s="191"/>
      <c r="J20" s="191"/>
      <c r="K20" s="191"/>
      <c r="L20" s="191"/>
      <c r="M20" s="191"/>
      <c r="N20" s="191"/>
      <c r="O20" s="191"/>
      <c r="P20" s="191"/>
      <c r="Q20" s="191"/>
      <c r="R20" s="191"/>
      <c r="W20" s="185" cm="1">
        <f t="array" ref="W20:Y20">+INDEX(Mand_usada[],MATCH($L$14,Mand_usada[Tamaño],1),)</f>
        <v>0</v>
      </c>
      <c r="X20" s="186">
        <v>0</v>
      </c>
      <c r="Y20" s="187">
        <v>0</v>
      </c>
      <c r="AA20" s="185" t="e" cm="1">
        <f t="array" ref="AA20">+INDEX(Con_usada[],MATCH($M$14,Con_usada[Tamaño],1),)</f>
        <v>#N/A</v>
      </c>
      <c r="AB20" s="186"/>
      <c r="AC20" s="187"/>
    </row>
    <row r="21" spans="1:29" ht="15" thickBot="1" x14ac:dyDescent="0.35">
      <c r="A21" s="191"/>
      <c r="B21" s="191"/>
      <c r="C21" s="191"/>
      <c r="D21" s="191"/>
      <c r="E21" s="191"/>
      <c r="F21" s="191"/>
      <c r="G21" s="191"/>
      <c r="H21" s="191"/>
      <c r="I21" s="191"/>
      <c r="J21" s="191"/>
      <c r="K21" s="191"/>
      <c r="L21" s="191"/>
      <c r="M21" s="191"/>
      <c r="N21" s="191"/>
      <c r="O21" s="191"/>
      <c r="P21" s="191"/>
      <c r="Q21" s="191"/>
      <c r="R21" s="191"/>
      <c r="W21" s="182" cm="1">
        <f t="array" ref="W21:Y21">+INDEX(Mand_usada[],MATCH($L$14,Mand_usada[Tamaño],1)+1,)</f>
        <v>2</v>
      </c>
      <c r="X21" s="183">
        <v>10</v>
      </c>
      <c r="Y21" s="184">
        <v>2</v>
      </c>
      <c r="AA21" s="182" t="e" cm="1">
        <f t="array" ref="AA21">+INDEX(Con_usada[],MATCH($M$14,Con_usada[Tamaño],1)+1,)</f>
        <v>#N/A</v>
      </c>
      <c r="AB21" s="183"/>
      <c r="AC21" s="184"/>
    </row>
    <row r="22" spans="1:29" x14ac:dyDescent="0.3">
      <c r="A22" s="191"/>
      <c r="B22" s="191"/>
      <c r="C22" s="191"/>
      <c r="D22" s="191"/>
      <c r="E22" s="191"/>
      <c r="F22" s="191"/>
      <c r="G22" s="191"/>
      <c r="H22" s="191"/>
      <c r="I22" s="191"/>
      <c r="J22" s="191"/>
      <c r="K22" s="191"/>
      <c r="L22" s="191"/>
      <c r="M22" s="191"/>
      <c r="N22" s="191"/>
      <c r="O22" s="191"/>
      <c r="P22" s="191"/>
      <c r="Q22" s="191"/>
      <c r="R22" s="191"/>
      <c r="W22" s="185" cm="1">
        <f t="array" ref="W22:Y22">+INDEX(Mand_usada[],MATCH($M$14,Mand_usada[Tamaño],1),)</f>
        <v>0</v>
      </c>
      <c r="X22" s="186">
        <v>0</v>
      </c>
      <c r="Y22" s="187">
        <v>0</v>
      </c>
      <c r="AA22" s="185" t="e" cm="1">
        <f t="array" ref="AA22">+INDEX(Con_usada[],MATCH($L$15,Con_usada[Tamaño],1),)</f>
        <v>#N/A</v>
      </c>
      <c r="AB22" s="186"/>
      <c r="AC22" s="187"/>
    </row>
    <row r="23" spans="1:29" ht="15" thickBot="1" x14ac:dyDescent="0.35">
      <c r="A23" s="191"/>
      <c r="B23" s="191"/>
      <c r="C23" s="191"/>
      <c r="D23" s="191"/>
      <c r="E23" s="191"/>
      <c r="F23" s="191"/>
      <c r="G23" s="191"/>
      <c r="H23" s="191"/>
      <c r="I23" s="191"/>
      <c r="J23" s="191"/>
      <c r="K23" s="191"/>
      <c r="L23" s="191"/>
      <c r="M23" s="191"/>
      <c r="N23" s="191"/>
      <c r="O23" s="191"/>
      <c r="P23" s="191"/>
      <c r="Q23" s="191"/>
      <c r="R23" s="191"/>
      <c r="W23" s="182" cm="1">
        <f t="array" ref="W23:Y23">+INDEX(Mand_usada[],MATCH($M$14,Mand_usada[Tamaño],1)+1,)</f>
        <v>2</v>
      </c>
      <c r="X23" s="183">
        <v>10</v>
      </c>
      <c r="Y23" s="184">
        <v>2</v>
      </c>
      <c r="AA23" s="182" t="e" cm="1">
        <f t="array" ref="AA23:AC23">+IFERROR(INDEX(Con_usada[],MATCH($L$15,Con_usada[Tamaño],1)+1,),H17:J17)</f>
        <v>#N/A</v>
      </c>
      <c r="AB23" s="183">
        <v>100</v>
      </c>
      <c r="AC23" s="184" t="e">
        <v>#N/A</v>
      </c>
    </row>
    <row r="24" spans="1:29" x14ac:dyDescent="0.3">
      <c r="A24" s="191"/>
      <c r="B24" s="191"/>
      <c r="C24" s="191"/>
      <c r="D24" s="191"/>
      <c r="E24" s="191"/>
      <c r="F24" s="191"/>
      <c r="G24" s="191"/>
      <c r="H24" s="191"/>
      <c r="I24" s="191"/>
      <c r="J24" s="191"/>
      <c r="K24" s="191"/>
      <c r="L24" s="191"/>
      <c r="M24" s="191"/>
      <c r="N24" s="191"/>
      <c r="O24" s="191"/>
      <c r="P24" s="191"/>
      <c r="Q24" s="191"/>
      <c r="R24" s="191"/>
      <c r="W24" s="185" cm="1">
        <f t="array" ref="W24:Y24">+INDEX(Mand_usada[],MATCH($L$15,Mand_usada[Tamaño],1),)</f>
        <v>0</v>
      </c>
      <c r="X24" s="186">
        <v>0</v>
      </c>
      <c r="Y24" s="187">
        <v>0</v>
      </c>
      <c r="AA24" s="185" t="e" cm="1">
        <f t="array" ref="AA24">+INDEX(Con_usada[],MATCH($M$15,Con_usada[Tamaño],1),)</f>
        <v>#N/A</v>
      </c>
      <c r="AB24" s="186"/>
      <c r="AC24" s="187"/>
    </row>
    <row r="25" spans="1:29" ht="15" thickBot="1" x14ac:dyDescent="0.35">
      <c r="A25" s="191"/>
      <c r="B25" s="191"/>
      <c r="C25" s="191"/>
      <c r="D25" s="191"/>
      <c r="E25" s="191"/>
      <c r="F25" s="191"/>
      <c r="G25" s="191"/>
      <c r="H25" s="191"/>
      <c r="I25" s="191"/>
      <c r="J25" s="191"/>
      <c r="K25" s="191"/>
      <c r="L25" s="191"/>
      <c r="M25" s="191"/>
      <c r="N25" s="191"/>
      <c r="O25" s="191"/>
      <c r="P25" s="191"/>
      <c r="Q25" s="191"/>
      <c r="R25" s="191"/>
      <c r="W25" s="182" cm="1">
        <f t="array" ref="W25:Y25">+INDEX(Mand_usada[],MATCH($L$15,Mand_usada[Tamaño],1)+1,)</f>
        <v>2</v>
      </c>
      <c r="X25" s="183">
        <v>10</v>
      </c>
      <c r="Y25" s="184">
        <v>2</v>
      </c>
      <c r="AA25" s="182" t="e" cm="1">
        <f t="array" ref="AA25">+INDEX(Con_usada[],MATCH($M$15,Con_usada[Tamaño],1)+1,)</f>
        <v>#N/A</v>
      </c>
      <c r="AB25" s="183"/>
      <c r="AC25" s="184"/>
    </row>
    <row r="26" spans="1:29" x14ac:dyDescent="0.3">
      <c r="A26" s="191"/>
      <c r="B26" s="191"/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191"/>
      <c r="O26" s="191"/>
      <c r="P26" s="191"/>
      <c r="Q26" s="191"/>
      <c r="R26" s="191"/>
      <c r="W26" s="185" cm="1">
        <f t="array" ref="W26:Y26">+INDEX(Mand_usada[],MATCH($M$15,Mand_usada[Tamaño],1),)</f>
        <v>0</v>
      </c>
      <c r="X26" s="186">
        <v>0</v>
      </c>
      <c r="Y26" s="187">
        <v>0</v>
      </c>
      <c r="AA26" s="185" t="e" cm="1">
        <f t="array" ref="AA26">+INDEX(Con_usada[],MATCH($L$16,Con_usada[Tamaño],1),)</f>
        <v>#N/A</v>
      </c>
      <c r="AB26" s="186"/>
      <c r="AC26" s="187"/>
    </row>
    <row r="27" spans="1:29" ht="15" thickBot="1" x14ac:dyDescent="0.35">
      <c r="A27" s="191"/>
      <c r="B27" s="191"/>
      <c r="C27" s="191"/>
      <c r="D27" s="191"/>
      <c r="E27" s="191"/>
      <c r="F27" s="191"/>
      <c r="G27" s="191"/>
      <c r="H27" s="191"/>
      <c r="I27" s="191"/>
      <c r="J27" s="191"/>
      <c r="K27" s="191"/>
      <c r="L27" s="191"/>
      <c r="M27" s="191"/>
      <c r="N27" s="191"/>
      <c r="O27" s="191"/>
      <c r="P27" s="191"/>
      <c r="Q27" s="191"/>
      <c r="R27" s="191"/>
      <c r="W27" s="182" cm="1">
        <f t="array" ref="W27:Y27">+INDEX(Mand_usada[],MATCH($M$15,Mand_usada[Tamaño],1)+1,)</f>
        <v>2</v>
      </c>
      <c r="X27" s="183">
        <v>10</v>
      </c>
      <c r="Y27" s="184">
        <v>2</v>
      </c>
      <c r="AA27" s="182" t="e" cm="1">
        <f t="array" ref="AA27">+INDEX(Con_usada[],MATCH($L$16,Con_usada[Tamaño],1)+1,)</f>
        <v>#N/A</v>
      </c>
      <c r="AB27" s="183"/>
      <c r="AC27" s="184"/>
    </row>
    <row r="28" spans="1:29" x14ac:dyDescent="0.3">
      <c r="A28" s="191"/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W28" s="185" cm="1">
        <f t="array" ref="W28:Y28">+INDEX(Mand_usada[],MATCH($L$16,Mand_usada[Tamaño],1),)</f>
        <v>0</v>
      </c>
      <c r="X28" s="186">
        <v>0</v>
      </c>
      <c r="Y28" s="187">
        <v>0</v>
      </c>
      <c r="AA28" s="185" t="e" cm="1">
        <f t="array" ref="AA28">+INDEX(Con_usada[],MATCH($M$16,Con_usada[Tamaño],1),)</f>
        <v>#N/A</v>
      </c>
      <c r="AB28" s="186"/>
      <c r="AC28" s="187"/>
    </row>
    <row r="29" spans="1:29" ht="15" thickBot="1" x14ac:dyDescent="0.35">
      <c r="A29" s="191"/>
      <c r="B29" s="191"/>
      <c r="C29" s="191"/>
      <c r="D29" s="191"/>
      <c r="E29" s="191"/>
      <c r="F29" s="191"/>
      <c r="G29" s="191"/>
      <c r="H29" s="191"/>
      <c r="I29" s="191"/>
      <c r="J29" s="191"/>
      <c r="K29" s="191"/>
      <c r="L29" s="191"/>
      <c r="M29" s="191"/>
      <c r="N29" s="191"/>
      <c r="O29" s="191"/>
      <c r="P29" s="191"/>
      <c r="Q29" s="191"/>
      <c r="R29" s="191"/>
      <c r="W29" s="182" cm="1">
        <f t="array" ref="W29:Y29">+INDEX(Mand_usada[],MATCH($L$16,Mand_usada[Tamaño],1)+1,)</f>
        <v>2</v>
      </c>
      <c r="X29" s="183">
        <v>10</v>
      </c>
      <c r="Y29" s="184">
        <v>2</v>
      </c>
      <c r="AA29" s="182" t="e" cm="1">
        <f t="array" ref="AA29">+INDEX(Con_usada[],MATCH($M$16,Con_usada[Tamaño],1)+1,)</f>
        <v>#N/A</v>
      </c>
      <c r="AB29" s="183"/>
      <c r="AC29" s="184"/>
    </row>
    <row r="30" spans="1:29" ht="14.1" customHeight="1" x14ac:dyDescent="0.3">
      <c r="A30" s="191"/>
      <c r="B30" s="191"/>
      <c r="C30" s="191"/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191"/>
      <c r="P30" s="191"/>
      <c r="Q30" s="191"/>
      <c r="R30" s="191"/>
      <c r="W30" s="185" cm="1">
        <f t="array" ref="W30:Y30">+INDEX(Mand_usada[],MATCH($M$16,Mand_usada[Tamaño],1),)</f>
        <v>0</v>
      </c>
      <c r="X30" s="186">
        <v>0</v>
      </c>
      <c r="Y30" s="187">
        <v>0</v>
      </c>
    </row>
    <row r="31" spans="1:29" ht="15" thickBot="1" x14ac:dyDescent="0.35">
      <c r="A31" s="191"/>
      <c r="B31" s="191"/>
      <c r="C31" s="191"/>
      <c r="D31" s="191"/>
      <c r="E31" s="191"/>
      <c r="F31" s="191"/>
      <c r="G31" s="191"/>
      <c r="H31" s="191"/>
      <c r="I31" s="191"/>
      <c r="J31" s="191"/>
      <c r="K31" s="191"/>
      <c r="L31" s="191"/>
      <c r="M31" s="191"/>
      <c r="N31" s="191"/>
      <c r="O31" s="191"/>
      <c r="P31" s="191"/>
      <c r="Q31" s="191"/>
      <c r="R31" s="191"/>
      <c r="W31" s="182" cm="1">
        <f t="array" ref="W31:Y31">+INDEX(Mand_usada[],MATCH($M$16,Mand_usada[Tamaño],1)+1,)</f>
        <v>2</v>
      </c>
      <c r="X31" s="183">
        <v>10</v>
      </c>
      <c r="Y31" s="184">
        <v>2</v>
      </c>
    </row>
    <row r="32" spans="1:29" x14ac:dyDescent="0.3">
      <c r="A32" s="191"/>
      <c r="B32" s="191"/>
      <c r="C32" s="191"/>
      <c r="D32" s="191"/>
      <c r="E32" s="191"/>
      <c r="F32" s="191"/>
      <c r="G32" s="191"/>
      <c r="H32" s="191"/>
      <c r="I32" s="191"/>
      <c r="J32" s="191"/>
      <c r="K32" s="191"/>
      <c r="L32" s="191"/>
      <c r="M32" s="191"/>
      <c r="N32" s="191"/>
      <c r="O32" s="191"/>
      <c r="P32" s="191"/>
      <c r="Q32" s="191"/>
      <c r="R32" s="191"/>
    </row>
    <row r="33" spans="1:18" x14ac:dyDescent="0.3">
      <c r="A33" s="191"/>
      <c r="B33" s="191"/>
      <c r="C33" s="191"/>
      <c r="D33" s="191"/>
      <c r="E33" s="191"/>
      <c r="F33" s="191"/>
      <c r="G33" s="191"/>
      <c r="H33" s="191"/>
      <c r="I33" s="191"/>
      <c r="J33" s="191"/>
      <c r="K33" s="191"/>
      <c r="L33" s="191"/>
      <c r="M33" s="191"/>
      <c r="N33" s="191"/>
      <c r="O33" s="191"/>
      <c r="P33" s="191"/>
      <c r="Q33" s="191"/>
      <c r="R33" s="191"/>
    </row>
    <row r="34" spans="1:18" x14ac:dyDescent="0.3">
      <c r="A34" s="191"/>
      <c r="B34" s="191"/>
      <c r="C34" s="191"/>
      <c r="D34" s="191"/>
      <c r="E34" s="191"/>
      <c r="F34" s="191"/>
      <c r="G34" s="191"/>
      <c r="H34" s="191"/>
      <c r="I34" s="191"/>
      <c r="J34" s="191"/>
      <c r="K34" s="191"/>
      <c r="L34" s="191"/>
      <c r="M34" s="191"/>
      <c r="N34" s="191"/>
      <c r="O34" s="191"/>
      <c r="P34" s="191"/>
      <c r="Q34" s="191"/>
      <c r="R34" s="191"/>
    </row>
    <row r="35" spans="1:18" x14ac:dyDescent="0.3">
      <c r="A35" s="191"/>
      <c r="B35" s="191"/>
      <c r="C35" s="191"/>
      <c r="D35" s="191"/>
      <c r="E35" s="191"/>
      <c r="F35" s="191"/>
      <c r="G35" s="191"/>
      <c r="H35" s="191"/>
      <c r="I35" s="191"/>
      <c r="J35" s="191"/>
      <c r="K35" s="191"/>
      <c r="L35" s="191"/>
      <c r="M35" s="191"/>
      <c r="N35" s="191"/>
      <c r="O35" s="191"/>
      <c r="P35" s="191"/>
      <c r="Q35" s="191"/>
      <c r="R35" s="191"/>
    </row>
    <row r="36" spans="1:18" x14ac:dyDescent="0.3">
      <c r="A36" s="191"/>
      <c r="B36" s="191"/>
      <c r="C36" s="191"/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191"/>
      <c r="O36" s="191"/>
      <c r="P36" s="191"/>
      <c r="Q36" s="191"/>
      <c r="R36" s="191"/>
    </row>
    <row r="37" spans="1:18" x14ac:dyDescent="0.3">
      <c r="A37" s="191"/>
      <c r="B37" s="191"/>
      <c r="C37" s="191"/>
      <c r="D37" s="191"/>
      <c r="E37" s="191"/>
      <c r="F37" s="191"/>
      <c r="G37" s="191"/>
      <c r="H37" s="191"/>
      <c r="I37" s="191"/>
      <c r="J37" s="191"/>
      <c r="K37" s="191"/>
      <c r="L37" s="191"/>
      <c r="M37" s="191"/>
      <c r="N37" s="191"/>
      <c r="O37" s="191"/>
      <c r="P37" s="191"/>
      <c r="Q37" s="191"/>
      <c r="R37" s="191"/>
    </row>
    <row r="38" spans="1:18" x14ac:dyDescent="0.3">
      <c r="A38" s="191"/>
      <c r="B38" s="191"/>
      <c r="C38" s="191"/>
      <c r="D38" s="191"/>
      <c r="E38" s="191"/>
      <c r="F38" s="191"/>
      <c r="G38" s="191"/>
      <c r="H38" s="191"/>
      <c r="I38" s="191"/>
      <c r="J38" s="191"/>
      <c r="K38" s="191"/>
      <c r="L38" s="191"/>
      <c r="M38" s="191"/>
      <c r="N38" s="191"/>
      <c r="O38" s="191"/>
      <c r="P38" s="191"/>
      <c r="Q38" s="191"/>
      <c r="R38" s="191"/>
    </row>
    <row r="39" spans="1:18" x14ac:dyDescent="0.3">
      <c r="A39" s="191"/>
      <c r="B39" s="191"/>
      <c r="C39" s="191"/>
      <c r="D39" s="191"/>
      <c r="E39" s="191"/>
      <c r="F39" s="191"/>
      <c r="G39" s="191"/>
      <c r="H39" s="191"/>
      <c r="I39" s="191"/>
      <c r="J39" s="191"/>
      <c r="K39" s="191"/>
      <c r="L39" s="191"/>
      <c r="M39" s="191"/>
      <c r="N39" s="191"/>
      <c r="O39" s="191"/>
      <c r="P39" s="191"/>
      <c r="Q39" s="191"/>
      <c r="R39" s="191"/>
    </row>
    <row r="40" spans="1:18" x14ac:dyDescent="0.3">
      <c r="A40" s="191"/>
      <c r="B40" s="191"/>
      <c r="C40" s="191"/>
      <c r="D40" s="191"/>
      <c r="E40" s="191"/>
      <c r="F40" s="191"/>
      <c r="G40" s="191"/>
      <c r="H40" s="191"/>
      <c r="I40" s="191"/>
      <c r="J40" s="191"/>
      <c r="K40" s="191"/>
      <c r="L40" s="191"/>
      <c r="M40" s="191"/>
      <c r="N40" s="191"/>
      <c r="O40" s="191"/>
      <c r="P40" s="191"/>
      <c r="Q40" s="191"/>
      <c r="R40" s="191"/>
    </row>
    <row r="41" spans="1:18" x14ac:dyDescent="0.3">
      <c r="A41" s="191"/>
      <c r="B41" s="191"/>
      <c r="C41" s="191"/>
      <c r="D41" s="191"/>
      <c r="E41" s="191"/>
      <c r="F41" s="191"/>
      <c r="G41" s="191"/>
      <c r="H41" s="191"/>
      <c r="I41" s="191"/>
      <c r="J41" s="191"/>
      <c r="K41" s="191"/>
      <c r="L41" s="191"/>
      <c r="M41" s="191"/>
      <c r="N41" s="191"/>
      <c r="O41" s="191"/>
      <c r="P41" s="191"/>
      <c r="Q41" s="191"/>
      <c r="R41" s="191"/>
    </row>
    <row r="42" spans="1:18" x14ac:dyDescent="0.3">
      <c r="A42" s="191"/>
      <c r="B42" s="191"/>
      <c r="C42" s="191"/>
      <c r="D42" s="191"/>
      <c r="E42" s="191"/>
      <c r="F42" s="191"/>
      <c r="G42" s="191"/>
      <c r="H42" s="191"/>
      <c r="I42" s="191"/>
      <c r="J42" s="191"/>
      <c r="K42" s="191"/>
      <c r="L42" s="191"/>
      <c r="M42" s="191"/>
      <c r="N42" s="191"/>
      <c r="O42" s="191"/>
      <c r="P42" s="191"/>
      <c r="Q42" s="191"/>
      <c r="R42" s="191"/>
    </row>
    <row r="43" spans="1:18" x14ac:dyDescent="0.3">
      <c r="A43" s="191"/>
      <c r="B43" s="191"/>
      <c r="C43" s="191"/>
      <c r="D43" s="191"/>
      <c r="E43" s="191"/>
      <c r="F43" s="191"/>
      <c r="G43" s="191"/>
      <c r="H43" s="191"/>
      <c r="I43" s="191"/>
      <c r="J43" s="191"/>
      <c r="K43" s="191"/>
      <c r="L43" s="191"/>
      <c r="M43" s="191"/>
      <c r="N43" s="191"/>
      <c r="O43" s="191"/>
      <c r="P43" s="191"/>
      <c r="Q43" s="191"/>
      <c r="R43" s="191"/>
    </row>
    <row r="44" spans="1:18" x14ac:dyDescent="0.3">
      <c r="A44" s="191"/>
      <c r="B44" s="191"/>
      <c r="C44" s="191"/>
      <c r="D44" s="191"/>
      <c r="E44" s="191"/>
      <c r="F44" s="191"/>
      <c r="G44" s="191"/>
      <c r="H44" s="191"/>
      <c r="I44" s="191"/>
      <c r="J44" s="191"/>
      <c r="K44" s="191"/>
      <c r="L44" s="191"/>
      <c r="M44" s="191"/>
      <c r="N44" s="191"/>
      <c r="O44" s="191"/>
      <c r="P44" s="191"/>
      <c r="Q44" s="191"/>
      <c r="R44" s="191"/>
    </row>
    <row r="45" spans="1:18" x14ac:dyDescent="0.3">
      <c r="A45" s="191"/>
      <c r="B45" s="191"/>
      <c r="C45" s="191"/>
      <c r="D45" s="191"/>
      <c r="E45" s="191"/>
      <c r="F45" s="191"/>
      <c r="G45" s="191"/>
      <c r="H45" s="191"/>
      <c r="I45" s="191"/>
      <c r="J45" s="191"/>
      <c r="K45" s="191"/>
      <c r="L45" s="191"/>
      <c r="M45" s="191"/>
      <c r="N45" s="191"/>
      <c r="O45" s="191"/>
      <c r="P45" s="191"/>
      <c r="Q45" s="191"/>
      <c r="R45" s="191"/>
    </row>
    <row r="46" spans="1:18" x14ac:dyDescent="0.3">
      <c r="A46" s="191"/>
      <c r="B46" s="191"/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1"/>
      <c r="O46" s="191"/>
      <c r="P46" s="191"/>
      <c r="Q46" s="191"/>
      <c r="R46" s="191"/>
    </row>
    <row r="47" spans="1:18" x14ac:dyDescent="0.3">
      <c r="A47" s="191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</row>
    <row r="48" spans="1:18" x14ac:dyDescent="0.3">
      <c r="A48" s="191"/>
      <c r="B48" s="191"/>
      <c r="C48" s="191"/>
      <c r="D48" s="191"/>
      <c r="E48" s="191"/>
      <c r="F48" s="191"/>
      <c r="G48" s="191"/>
      <c r="H48" s="191"/>
      <c r="I48" s="191"/>
      <c r="J48" s="191"/>
      <c r="K48" s="191"/>
      <c r="L48" s="191"/>
      <c r="M48" s="191"/>
      <c r="N48" s="191"/>
      <c r="O48" s="191"/>
      <c r="P48" s="191"/>
      <c r="Q48" s="191"/>
      <c r="R48" s="191"/>
    </row>
    <row r="49" spans="1:18" x14ac:dyDescent="0.3">
      <c r="A49" s="191"/>
      <c r="B49" s="191"/>
      <c r="C49" s="191"/>
      <c r="D49" s="191"/>
      <c r="E49" s="191"/>
      <c r="F49" s="191"/>
      <c r="G49" s="191"/>
      <c r="H49" s="191"/>
      <c r="I49" s="191"/>
      <c r="J49" s="191"/>
      <c r="K49" s="191"/>
      <c r="L49" s="191"/>
      <c r="M49" s="191"/>
      <c r="N49" s="191"/>
      <c r="O49" s="191"/>
      <c r="P49" s="191"/>
      <c r="Q49" s="191"/>
      <c r="R49" s="191"/>
    </row>
  </sheetData>
  <mergeCells count="18">
    <mergeCell ref="P6:Q6"/>
    <mergeCell ref="A1:O1"/>
    <mergeCell ref="F4:G4"/>
    <mergeCell ref="F6:G6"/>
    <mergeCell ref="L6:M6"/>
    <mergeCell ref="N6:O6"/>
    <mergeCell ref="F17:G17"/>
    <mergeCell ref="F7:G7"/>
    <mergeCell ref="F8:G8"/>
    <mergeCell ref="F9:G9"/>
    <mergeCell ref="F10:G10"/>
    <mergeCell ref="F11:G11"/>
    <mergeCell ref="F12:G12"/>
    <mergeCell ref="L12:M12"/>
    <mergeCell ref="F13:G13"/>
    <mergeCell ref="F14:G14"/>
    <mergeCell ref="F15:G15"/>
    <mergeCell ref="F16:G16"/>
  </mergeCells>
  <dataValidations count="1">
    <dataValidation type="list" allowBlank="1" showInputMessage="1" showErrorMessage="1" sqref="J4" xr:uid="{00000000-0002-0000-0800-000000000000}">
      <formula1>"Ex. Course, Course, Medium"</formula1>
    </dataValidation>
  </dataValidations>
  <pageMargins left="0.7" right="0.7" top="0.75" bottom="0.75" header="0.3" footer="0.3"/>
  <pageSetup orientation="portrait" r:id="rId1"/>
  <ignoredErrors>
    <ignoredError sqref="Q12" formula="1"/>
  </ignoredErrors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6"/>
  <dimension ref="A1:L54"/>
  <sheetViews>
    <sheetView workbookViewId="0">
      <selection activeCell="F39" sqref="F39"/>
    </sheetView>
  </sheetViews>
  <sheetFormatPr baseColWidth="10" defaultColWidth="10.90625" defaultRowHeight="13.8" x14ac:dyDescent="0.25"/>
  <cols>
    <col min="1" max="1" width="12.6328125" bestFit="1" customWidth="1"/>
    <col min="4" max="4" width="21.36328125" bestFit="1" customWidth="1"/>
    <col min="5" max="5" width="14.08984375" customWidth="1"/>
  </cols>
  <sheetData>
    <row r="1" spans="1:7" x14ac:dyDescent="0.25">
      <c r="E1" s="121"/>
      <c r="F1" s="121"/>
      <c r="G1" s="121"/>
    </row>
    <row r="2" spans="1:7" ht="14.4" x14ac:dyDescent="0.3">
      <c r="A2" s="7" t="s">
        <v>0</v>
      </c>
      <c r="B2" s="7" t="s">
        <v>123</v>
      </c>
      <c r="D2" s="121"/>
      <c r="E2" s="121"/>
      <c r="F2" s="121"/>
      <c r="G2" s="121"/>
    </row>
    <row r="3" spans="1:7" ht="14.4" x14ac:dyDescent="0.3">
      <c r="A3" s="7" t="s">
        <v>124</v>
      </c>
      <c r="B3" s="7" t="s">
        <v>129</v>
      </c>
      <c r="D3" s="121"/>
      <c r="E3" s="121"/>
      <c r="F3" s="121"/>
      <c r="G3" s="121"/>
    </row>
    <row r="4" spans="1:7" ht="14.4" x14ac:dyDescent="0.3">
      <c r="A4" s="7" t="s">
        <v>125</v>
      </c>
      <c r="B4" s="7" t="s">
        <v>129</v>
      </c>
      <c r="D4" s="121"/>
      <c r="E4" s="121"/>
      <c r="F4" s="121"/>
      <c r="G4" s="121"/>
    </row>
    <row r="5" spans="1:7" ht="14.4" x14ac:dyDescent="0.3">
      <c r="A5" s="7" t="s">
        <v>126</v>
      </c>
      <c r="B5" s="7" t="s">
        <v>129</v>
      </c>
      <c r="D5" s="121"/>
      <c r="E5" s="121"/>
      <c r="F5" s="121"/>
      <c r="G5" s="121"/>
    </row>
    <row r="6" spans="1:7" ht="14.4" x14ac:dyDescent="0.3">
      <c r="A6" s="7" t="s">
        <v>127</v>
      </c>
      <c r="B6" s="7" t="s">
        <v>129</v>
      </c>
      <c r="E6" s="121"/>
      <c r="F6" s="121"/>
      <c r="G6" s="121"/>
    </row>
    <row r="7" spans="1:7" ht="14.4" x14ac:dyDescent="0.3">
      <c r="A7" s="7" t="s">
        <v>128</v>
      </c>
      <c r="B7" s="7" t="s">
        <v>129</v>
      </c>
      <c r="D7" s="121"/>
      <c r="E7" s="121"/>
      <c r="F7" s="121"/>
      <c r="G7" s="121"/>
    </row>
    <row r="8" spans="1:7" ht="14.4" x14ac:dyDescent="0.3">
      <c r="A8" s="7" t="s">
        <v>130</v>
      </c>
      <c r="B8" s="7" t="s">
        <v>182</v>
      </c>
      <c r="D8" s="121"/>
      <c r="E8" s="121"/>
      <c r="F8" s="121"/>
      <c r="G8" s="121"/>
    </row>
    <row r="9" spans="1:7" ht="14.4" x14ac:dyDescent="0.3">
      <c r="A9" s="7" t="s">
        <v>131</v>
      </c>
      <c r="B9" s="7" t="s">
        <v>182</v>
      </c>
      <c r="D9" s="121"/>
      <c r="E9" s="121"/>
      <c r="F9" s="121"/>
      <c r="G9" s="121"/>
    </row>
    <row r="10" spans="1:7" ht="14.4" x14ac:dyDescent="0.3">
      <c r="A10" s="7" t="s">
        <v>132</v>
      </c>
      <c r="B10" s="7" t="s">
        <v>182</v>
      </c>
      <c r="D10" s="121"/>
      <c r="E10" s="121"/>
      <c r="F10" s="121"/>
      <c r="G10" s="121"/>
    </row>
    <row r="11" spans="1:7" ht="14.4" x14ac:dyDescent="0.3">
      <c r="A11" s="7" t="s">
        <v>133</v>
      </c>
      <c r="B11" s="7" t="s">
        <v>138</v>
      </c>
      <c r="D11" s="121"/>
      <c r="E11" s="121"/>
      <c r="F11" s="121"/>
      <c r="G11" s="121"/>
    </row>
    <row r="12" spans="1:7" ht="14.4" x14ac:dyDescent="0.3">
      <c r="A12" s="7" t="s">
        <v>134</v>
      </c>
      <c r="B12" s="7" t="s">
        <v>138</v>
      </c>
      <c r="D12" s="121"/>
      <c r="E12" s="121"/>
      <c r="F12" s="121"/>
      <c r="G12" s="121"/>
    </row>
    <row r="13" spans="1:7" ht="14.4" x14ac:dyDescent="0.3">
      <c r="A13" s="7" t="s">
        <v>135</v>
      </c>
      <c r="B13" s="7" t="s">
        <v>138</v>
      </c>
      <c r="D13" s="121"/>
      <c r="E13" s="121"/>
      <c r="F13" s="121"/>
      <c r="G13" s="121"/>
    </row>
    <row r="14" spans="1:7" ht="14.4" x14ac:dyDescent="0.3">
      <c r="A14" s="7" t="s">
        <v>137</v>
      </c>
      <c r="B14" s="7" t="s">
        <v>138</v>
      </c>
      <c r="D14" s="121"/>
      <c r="E14" s="121"/>
      <c r="F14" s="121"/>
      <c r="G14" s="121"/>
    </row>
    <row r="15" spans="1:7" ht="14.4" x14ac:dyDescent="0.3">
      <c r="A15" s="7" t="s">
        <v>136</v>
      </c>
      <c r="B15" s="7" t="s">
        <v>138</v>
      </c>
      <c r="D15" s="121"/>
      <c r="E15" s="121"/>
      <c r="F15" s="121"/>
      <c r="G15" s="121"/>
    </row>
    <row r="16" spans="1:7" ht="14.4" x14ac:dyDescent="0.3">
      <c r="A16" s="7" t="s">
        <v>139</v>
      </c>
      <c r="B16" s="7" t="s">
        <v>141</v>
      </c>
      <c r="D16" s="121"/>
      <c r="E16" s="121"/>
      <c r="F16" s="121"/>
      <c r="G16" s="121"/>
    </row>
    <row r="17" spans="1:7" ht="14.4" x14ac:dyDescent="0.3">
      <c r="A17" s="7" t="s">
        <v>133</v>
      </c>
      <c r="B17" s="7" t="s">
        <v>141</v>
      </c>
      <c r="D17" s="121"/>
      <c r="E17" s="121"/>
      <c r="F17" s="121"/>
      <c r="G17" s="121"/>
    </row>
    <row r="18" spans="1:7" ht="14.4" x14ac:dyDescent="0.3">
      <c r="A18" s="7" t="s">
        <v>140</v>
      </c>
      <c r="B18" s="7" t="s">
        <v>141</v>
      </c>
      <c r="D18" s="121"/>
    </row>
    <row r="19" spans="1:7" ht="14.4" x14ac:dyDescent="0.3">
      <c r="A19" s="7" t="s">
        <v>137</v>
      </c>
      <c r="B19" s="7" t="s">
        <v>141</v>
      </c>
    </row>
    <row r="49" spans="5:12" x14ac:dyDescent="0.25">
      <c r="H49" s="121"/>
      <c r="I49" s="121"/>
      <c r="J49" s="121"/>
    </row>
    <row r="50" spans="5:12" x14ac:dyDescent="0.25">
      <c r="H50" s="121"/>
      <c r="I50" s="121"/>
      <c r="J50" s="121"/>
    </row>
    <row r="51" spans="5:12" x14ac:dyDescent="0.25">
      <c r="H51" s="121"/>
      <c r="I51" s="121"/>
      <c r="J51" s="121"/>
    </row>
    <row r="52" spans="5:12" x14ac:dyDescent="0.25">
      <c r="H52" s="121"/>
      <c r="I52" s="121"/>
      <c r="J52" s="121"/>
    </row>
    <row r="53" spans="5:12" x14ac:dyDescent="0.25">
      <c r="E53" s="121"/>
      <c r="H53" s="121"/>
      <c r="I53" s="121"/>
      <c r="J53" s="121"/>
      <c r="K53" s="121"/>
      <c r="L53" s="121"/>
    </row>
    <row r="54" spans="5:12" x14ac:dyDescent="0.25">
      <c r="E54" s="121"/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4F9435336E35F48BBC5F3DC7558E03C" ma:contentTypeVersion="5" ma:contentTypeDescription="Crear nuevo documento." ma:contentTypeScope="" ma:versionID="4ec55c03424c1433bf0041ad099e4c4d">
  <xsd:schema xmlns:xsd="http://www.w3.org/2001/XMLSchema" xmlns:xs="http://www.w3.org/2001/XMLSchema" xmlns:p="http://schemas.microsoft.com/office/2006/metadata/properties" xmlns:ns3="22f87b43-8c13-4135-bc3d-387747bff6ca" xmlns:ns4="066aa1f9-92e4-41c8-b754-ea002306e62d" targetNamespace="http://schemas.microsoft.com/office/2006/metadata/properties" ma:root="true" ma:fieldsID="b078fbdbcbdb9662dcbf174b468ad75a" ns3:_="" ns4:_="">
    <xsd:import namespace="22f87b43-8c13-4135-bc3d-387747bff6ca"/>
    <xsd:import namespace="066aa1f9-92e4-41c8-b754-ea002306e62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87b43-8c13-4135-bc3d-387747bff6c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6aa1f9-92e4-41c8-b754-ea002306e62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D292FDB-DF64-40A7-B08F-AECE0CBC42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f87b43-8c13-4135-bc3d-387747bff6ca"/>
    <ds:schemaRef ds:uri="066aa1f9-92e4-41c8-b754-ea002306e62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069F1C2-990E-462C-8962-8139A9203D70}">
  <ds:schemaRefs>
    <ds:schemaRef ds:uri="http://schemas.microsoft.com/office/infopath/2007/PartnerControls"/>
    <ds:schemaRef ds:uri="22f87b43-8c13-4135-bc3d-387747bff6ca"/>
    <ds:schemaRef ds:uri="http://purl.org/dc/elements/1.1/"/>
    <ds:schemaRef ds:uri="http://schemas.microsoft.com/office/2006/metadata/properties"/>
    <ds:schemaRef ds:uri="066aa1f9-92e4-41c8-b754-ea002306e62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588DD27-6D61-401B-9108-F1511FE0601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</vt:i4>
      </vt:variant>
    </vt:vector>
  </HeadingPairs>
  <TitlesOfParts>
    <vt:vector size="12" baseType="lpstr">
      <vt:lpstr>Inputs</vt:lpstr>
      <vt:lpstr>Informe 1 etapa</vt:lpstr>
      <vt:lpstr>Informe 2 etapas</vt:lpstr>
      <vt:lpstr>DimensionadorTrit</vt:lpstr>
      <vt:lpstr>Curvas Granul. M</vt:lpstr>
      <vt:lpstr>Curvas Granul. C</vt:lpstr>
      <vt:lpstr>Trit mandibulas</vt:lpstr>
      <vt:lpstr>Trit conicas</vt:lpstr>
      <vt:lpstr>Iterador 80% y Analisis Gran.</vt:lpstr>
      <vt:lpstr>Materiales</vt:lpstr>
      <vt:lpstr>'Informe 1 etapa'!Área_de_impresión</vt:lpstr>
      <vt:lpstr>'Informe 2 etapas'!Área_de_impresión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</dc:creator>
  <cp:lastModifiedBy>Sabrina</cp:lastModifiedBy>
  <cp:lastPrinted>2022-07-01T03:21:16Z</cp:lastPrinted>
  <dcterms:created xsi:type="dcterms:W3CDTF">2020-10-21T19:45:00Z</dcterms:created>
  <dcterms:modified xsi:type="dcterms:W3CDTF">2022-07-01T03:21:56Z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0x01010074F9435336E35F48BBC5F3DC7558E03C</vt:lpwstr>
  </property>
</Properties>
</file>